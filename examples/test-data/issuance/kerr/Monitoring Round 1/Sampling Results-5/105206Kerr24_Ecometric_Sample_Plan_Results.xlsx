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Regen Network/Sampling Results/"/>
    </mc:Choice>
  </mc:AlternateContent>
  <xr:revisionPtr revIDLastSave="62" documentId="8_{7837BDB7-0DCE-4637-BCCC-9F17595CBF32}" xr6:coauthVersionLast="47" xr6:coauthVersionMax="47" xr10:uidLastSave="{1925FCC0-8F1D-4535-AD9A-1566C82AFDE4}"/>
  <bookViews>
    <workbookView xWindow="-108" yWindow="-108" windowWidth="23256" windowHeight="12456" xr2:uid="{756E1052-5D32-4ADB-859D-0510EF1E1061}"/>
  </bookViews>
  <sheets>
    <sheet name="Sample Record" sheetId="16" r:id="rId1"/>
  </sheets>
  <definedNames>
    <definedName name="_xlnm._FilterDatabase" localSheetId="0" hidden="1">'Sample Record'!$A$1:$AH$1</definedName>
    <definedName name="_xlnm.Print_Area" localSheetId="0">'Sample Record'!$A:$V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2" i="16" l="1"/>
  <c r="O36" i="16"/>
  <c r="O37" i="16"/>
  <c r="O39" i="16"/>
  <c r="O40" i="16"/>
  <c r="O45" i="16"/>
  <c r="O48" i="16"/>
  <c r="O53" i="16"/>
  <c r="O55" i="16"/>
  <c r="A22" i="16"/>
  <c r="O22" i="16" s="1"/>
  <c r="A39" i="16"/>
  <c r="A40" i="16"/>
  <c r="A41" i="16"/>
  <c r="O41" i="16" s="1"/>
  <c r="A42" i="16"/>
  <c r="O42" i="16" s="1"/>
  <c r="A43" i="16"/>
  <c r="O43" i="16" s="1"/>
  <c r="A50" i="16"/>
  <c r="O50" i="16" s="1"/>
  <c r="A51" i="16"/>
  <c r="O51" i="16" s="1"/>
  <c r="A52" i="16"/>
  <c r="O52" i="16" s="1"/>
  <c r="A53" i="16"/>
  <c r="A54" i="16"/>
  <c r="O54" i="16" s="1"/>
  <c r="A55" i="16"/>
  <c r="A26" i="16"/>
  <c r="O26" i="16" s="1"/>
  <c r="A28" i="16"/>
  <c r="O28" i="16" s="1"/>
  <c r="A45" i="16"/>
  <c r="A47" i="16"/>
  <c r="O47" i="16" s="1"/>
  <c r="A49" i="16"/>
  <c r="O49" i="16" s="1"/>
  <c r="A18" i="16"/>
  <c r="O18" i="16" s="1"/>
  <c r="A2" i="16"/>
  <c r="O2" i="16" s="1"/>
  <c r="A7" i="16"/>
  <c r="O7" i="16" s="1"/>
  <c r="A4" i="16"/>
  <c r="O4" i="16" s="1"/>
  <c r="A5" i="16"/>
  <c r="O5" i="16" s="1"/>
  <c r="A16" i="16"/>
  <c r="O16" i="16" s="1"/>
  <c r="A29" i="16"/>
  <c r="O29" i="16" s="1"/>
  <c r="A30" i="16"/>
  <c r="O30" i="16" s="1"/>
  <c r="A32" i="16"/>
  <c r="A10" i="16"/>
  <c r="O10" i="16" s="1"/>
  <c r="A11" i="16"/>
  <c r="O11" i="16" s="1"/>
  <c r="A12" i="16"/>
  <c r="O12" i="16" s="1"/>
  <c r="A13" i="16"/>
  <c r="O13" i="16" s="1"/>
  <c r="A14" i="16"/>
  <c r="O14" i="16" s="1"/>
  <c r="A15" i="16"/>
  <c r="O15" i="16" s="1"/>
  <c r="A33" i="16"/>
  <c r="O33" i="16" s="1"/>
  <c r="A34" i="16"/>
  <c r="O34" i="16" s="1"/>
  <c r="A35" i="16"/>
  <c r="O35" i="16" s="1"/>
  <c r="A36" i="16"/>
  <c r="A37" i="16"/>
  <c r="A38" i="16"/>
  <c r="O38" i="16" s="1"/>
  <c r="A25" i="16"/>
  <c r="O25" i="16" s="1"/>
  <c r="A19" i="16"/>
  <c r="O19" i="16" s="1"/>
  <c r="A24" i="16"/>
  <c r="O24" i="16" s="1"/>
  <c r="A17" i="16"/>
  <c r="O17" i="16" s="1"/>
  <c r="A31" i="16"/>
  <c r="O31" i="16" s="1"/>
  <c r="A21" i="16"/>
  <c r="O21" i="16" s="1"/>
  <c r="A23" i="16"/>
  <c r="O23" i="16" s="1"/>
  <c r="A44" i="16"/>
  <c r="O44" i="16" s="1"/>
  <c r="A46" i="16"/>
  <c r="O46" i="16" s="1"/>
  <c r="A48" i="16"/>
  <c r="A27" i="16"/>
  <c r="O27" i="16" s="1"/>
  <c r="A3" i="16"/>
  <c r="O3" i="16" s="1"/>
  <c r="A8" i="16"/>
  <c r="O8" i="16" s="1"/>
  <c r="A6" i="16"/>
  <c r="O6" i="16" s="1"/>
  <c r="A9" i="16"/>
  <c r="O9" i="16" s="1"/>
  <c r="A20" i="16"/>
  <c r="O20" i="16" s="1"/>
</calcChain>
</file>

<file path=xl/sharedStrings.xml><?xml version="1.0" encoding="utf-8"?>
<sst xmlns="http://schemas.openxmlformats.org/spreadsheetml/2006/main" count="459" uniqueCount="113">
  <si>
    <t>CustID</t>
  </si>
  <si>
    <t>EPSG</t>
  </si>
  <si>
    <t>Label</t>
  </si>
  <si>
    <t>NRMRef</t>
  </si>
  <si>
    <t>CCRef</t>
  </si>
  <si>
    <t>ProjID</t>
  </si>
  <si>
    <t>WKT</t>
  </si>
  <si>
    <t>Area</t>
  </si>
  <si>
    <t>Depth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</si>
  <si>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</si>
  <si>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</si>
  <si>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</si>
  <si>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</si>
  <si>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</si>
  <si>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</si>
  <si>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</si>
  <si>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</si>
  <si>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</si>
  <si>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</si>
  <si>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</si>
  <si>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</si>
  <si>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</si>
  <si>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</si>
  <si>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Origine</t>
  </si>
  <si>
    <t>SmplNo</t>
  </si>
  <si>
    <t>SmplRef</t>
  </si>
  <si>
    <t>ParcelID</t>
  </si>
  <si>
    <t>BlockID</t>
  </si>
  <si>
    <t>FieldName</t>
  </si>
  <si>
    <t>SBI</t>
  </si>
  <si>
    <t>Card No</t>
  </si>
  <si>
    <t>Y631</t>
  </si>
  <si>
    <t>A421</t>
  </si>
  <si>
    <t>CurrCrop</t>
  </si>
  <si>
    <t>PrevCrop</t>
  </si>
  <si>
    <t>CheckSum</t>
  </si>
  <si>
    <t>Top Park</t>
  </si>
  <si>
    <t>Corner Field</t>
  </si>
  <si>
    <t>Mid</t>
  </si>
  <si>
    <t>Yard Field</t>
  </si>
  <si>
    <t>Cottage Field</t>
  </si>
  <si>
    <t>Roughens</t>
  </si>
  <si>
    <t>Railway 1</t>
  </si>
  <si>
    <t>Lambing Field</t>
  </si>
  <si>
    <t>Paddock Field</t>
  </si>
  <si>
    <t>Back</t>
  </si>
  <si>
    <t>Long Field</t>
  </si>
  <si>
    <t>Bells</t>
  </si>
  <si>
    <t>Park 2</t>
  </si>
  <si>
    <t>Railway 2</t>
  </si>
  <si>
    <t>Park 1</t>
  </si>
  <si>
    <t>MULTIPOLYGON (((-0.397949459954207 53.4837270585707,-0.397260387921743 53.4824618000265,-0.399336082626487 53.4821950041344,-0.399375582973998 53.4823084157449,-0.399599399606468 53.4829526175202,-0.399607287472867 53.4829752871043,-0.399624416768478 53.4830244657329,-0.399624965879798 53.4830261334035,-0.399625243473906 53.4830267663692,-0.399694520040045 53.483216287907,-0.400278463660781 53.4848609688829,-0.400193059967081 53.4848707813317,-0.399962119666838 53.4848455286895,-0.399148148973448 53.4847565192131,-0.399147473402689 53.4847564490401,-0.398700803281162 53.4847076037325,-0.398685468049235 53.484674590182,-0.398669778868591 53.4846149582438,-0.398654405939331 53.484542928037,-0.398651660438713 53.4845357915345,-0.398647709783698 53.484520636638,-0.398643875931482 53.4845063822331,-0.398641280981088 53.4844912463938,-0.398641379176079 53.4844886390216,-0.398640075794313 53.4844832288981,-0.398638735293613 53.4844788044008,-0.398638901061278 53.4844744027757,-0.398637714513944 53.4844698922455,-0.398638282976231 53.4844547978788,-0.398641897977857 53.4844388462899,-0.398645245699448 53.4844299917486,-0.398646951670827 53.4844247118259,-0.398650265587307 53.4844167548601,-0.398655089253474 53.4844087282234,-0.398658553837667 53.4844007723766,-0.398704115602323 53.4843114916833,-0.398707546299898 53.4843044352075,-0.398722006935326 53.484280628425,-0.398734964575841 53.4842567116176,-0.398747952652555 53.4842319861818,-0.398754478878487 53.484218768565,-0.398765960504453 53.4841940247486,-0.398774779857247 53.4841639362091,-0.39877598427134 53.4841319523204,-0.398774647082509 53.4841274397739,-0.398771901688515 53.4841203005783,-0.39876918667821 53.4841123545527,-0.398766459935694 53.4841087223228,-0.398764901129317 53.4841060927577,-0.398756265581305 53.484095280761,-0.398753501555742 53.4840926386495,-0.398751946100305 53.4840899201353,-0.398730370257892 53.4840631451601,-0.398724523084964 53.4840577308117,-0.398720173228023 53.4840531770149,-0.398717375440199 53.4840514315799,-0.398709926492811 53.4840451292111,-0.398683509158825 53.4840262565752,-0.398679091502847 53.4840235033194,-0.398673314880976 53.4840208181583,-0.398668777212299 53.4840172497653,-0.398664359558207 53.4840144965089,-0.398658582972322 53.4840118104487,-0.398654048587941 53.4840081549031,-0.398642197499134 53.4840026897971,-0.398636386944403 53.484000905804,-0.398631935525178 53.4839990492238,-0.398616917582261 53.4839936351854,-0.398609600778832 53.4839918283187,-0.398602893318275 53.483989848929,-0.398665080546967 53.4839033061377,-0.398659393604757 53.4839022420443,-0.398632338399411 53.4838963081053,-0.398620392567624 53.4838933596238,-0.398495741053335 53.4838657100039,-0.398370007975065 53.4838307680462,-0.39835644239163 53.4838268099174,-0.398233602230075 53.4837910930408,-0.398175213429964 53.4837727834551,-0.398117012648234 53.4837534848427,-0.398107962725528 53.4837496779814,-0.398097519829186 53.4837468421742,-0.398088586696263 53.4837439358038,-0.398077962806706 53.4837419039078,-0.398073481009662 53.4837408550352,-0.398063038083979 53.4837380201236,-0.398031464141037 53.4837320228027,-0.39802095690702 53.483730894988,-0.398013636773064 53.4837295384024,-0.398010480307238 53.4837289540534,-0.39800581064457 53.4837288914814,-0.397996809788639 53.4837277829507,-0.397987771732198 53.4837276618423,-0.39797877087702 53.4837265533103,-0.397959037787981 53.4837262888865,-0.39794996591524 53.4837270653507,-0.397949459954207 53.4837270585707)))</t>
  </si>
  <si>
    <t>MULTIPOLYGON (((-0.397260387921743 53.4824618000265,-0.396309544983653 53.4807158836419,-0.396370704785156 53.4806929545688,-0.396536808775148 53.4806361211263,-0.396605363371505 53.4806124998364,-0.396651023082378 53.4806485318009,-0.396699643202508 53.4806739951916,-0.396738021305117 53.4806913180467,-0.396742404518814 53.4806949725438,-0.396746855477189 53.4806968300917,-0.396752812636331 53.4806987087375,-0.396761853395078 53.4806987409855,-0.396763393602559 53.480697860015,-0.396767912305209 53.4806979206132,-0.396770808021693 53.4806970605174,-0.396775360595633 53.4806962226408,-0.39678002992155 53.4806962852585,-0.396792064655571 53.4806928509336,-0.396793604760605 53.4806919726581,-0.396991354088024 53.4806391622665,-0.398037047550812 53.4803393612405,-0.398248684784011 53.4802778336877,-0.398576331767685 53.4801810037472,-0.398627673155498 53.4801662308035,-0.398765332887246 53.4805685473395,-0.399138662272071 53.4816281707378,-0.399336082626487 53.4821950041344,-0.397260387921743 53.4824618000265)))</t>
  </si>
  <si>
    <t>MULTIPOLYGON (((-0.392365447082316 53.4925799943772,-0.393763586780516 53.4942461086359,-0.393353848368746 53.4942900809193,-0.392717865009314 53.4943612681967,-0.392477280176875 53.4943877344314,-0.392474040514894 53.4943880953927,-0.392185619869561 53.4944198238506,-0.391584908036518 53.4944949852215,-0.391198867640991 53.4945341086893,-0.390893287848018 53.4945702685878,-0.390691575534364 53.4945944317388,-0.390544486027058 53.4946092618407,-0.39045604679998 53.4946158920221,-0.390367752879818 53.4946147034303,-0.390291076776992 53.49460926644,-0.390163902255988 53.4945918230293,-0.390038258383823 53.4945737708436,-0.389966983724824 53.4945614486797,-0.389942406832471 53.4945571984156,-0.389831692375125 53.4945350321961,-0.389580435829828 53.4944822073667,-0.389187165580454 53.4943978051796,-0.388846257236194 53.4943239936714,-0.388693458276872 53.4942985625148,-0.388590108405734 53.4942809890177,-0.388522783338801 53.4942674975728,-0.388491244683838 53.4942643748218,-0.388487720323995 53.4942778112286,-0.388447141412147 53.4942745666217,-0.388376564563633 53.4942673228571,-0.388346810090049 53.4942648542646,-0.388356662910183 53.4942355930507,-0.388437986121799 53.4940587923855,-0.388455395928674 53.4939932246685,-0.388489959489967 53.493736380884,-0.392365447082316 53.4925799943772)))</t>
  </si>
  <si>
    <t>MULTIPOLYGON (((-0.393763586780516 53.4942461086359,-0.392365447082316 53.4925799943772,-0.395671703149164 53.4915933084507,-0.395791373519872 53.4917354286667,-0.395834386809895 53.4917979427272,-0.395841515216315 53.4918327360409,-0.395842015168148 53.4919792687033,-0.395848565133349 53.4920054245528,-0.395886464132012 53.492079644999,-0.396000485957488 53.4922537685831,-0.396120874259627 53.4924189890842,-0.396233696384114 53.4925850050953,-0.396288964621202 53.4926783358317,-0.396397418947819 53.4928802510419,-0.396414007604398 53.4929200262853,-0.396421895220147 53.4929506955674,-0.396423857852787 53.492978588606,-0.396411413111713 53.4930287615753,-0.396389962201449 53.4930779148269,-0.396375419202515 53.4931037886398,-0.396353376711142 53.4931286629398,-0.396323699131883 53.4931561316096,-0.396294224893985 53.4931782094416,-0.39621602850683 53.4932131176431,-0.396193267153348 53.4932210824568,-0.396144231602652 53.493238223447,-0.396051205508157 53.4932666401312,-0.396016012849244 53.4932804609546,-0.396006833773322 53.4932840234147,-0.395922338999006 53.4933260383431,-0.395876087506288 53.4933532845498,-0.395826585241964 53.4933867796091,-0.395784412838477 53.4934257674499,-0.395731184994017 53.4934780890389,-0.395654101942704 53.49356335259,-0.395560900435587 53.4936762647221,-0.395467359246188 53.4937981623865,-0.395425404031223 53.4938713113192,-0.395363890227411 53.4940233032719,-0.39535996104698 53.4940475215515,-0.395355169589314 53.4940546486586,-0.395341236139048 53.4940643498542,-0.39532469575698 53.4940712293896,-0.39531826247648 53.494073928823,-0.395284598725129 53.4940779734546,-0.395257688867746 53.4940812079986,-0.395239506591617 53.494083661646,-0.395092847181429 53.494095177074,-0.394484030952485 53.4941656596606,-0.394244364932031 53.4941930038495,-0.394027558539771 53.4942177789358,-0.393763586780516 53.4942461086359)))</t>
  </si>
  <si>
    <t>MULTIPOLYGON (((-0.391136844721885 53.4909117426196,-0.392502376017147 53.4925391333985,-0.388489959489967 53.493736380884,-0.388536406244009 53.4933912271192,-0.388613736950945 53.4929419058436,-0.388648104359972 53.4927510772682,-0.388683046999869 53.4925450645582,-0.388742224477424 53.4921689417858,-0.388824033616028 53.4916018705105,-0.391136844721885 53.4909117426196)))</t>
  </si>
  <si>
    <t>MULTIPOLYGON (((-0.392502376017147 53.4925391333985,-0.391136844721885 53.4909117426196,-0.394290360181131 53.4899706451574,-0.394625984025891 53.490367082316,-0.394884272835906 53.4906723199153,-0.395005294073262 53.4908125590945,-0.39538669266027 53.491254826484,-0.395671703149164 53.4915933084507,-0.392502376017147 53.4925391333985)))</t>
  </si>
  <si>
    <t>MULTIPOLYGON (((-0.394290360181131 53.4899706451574,-0.388824033616028 53.4916018705105,-0.388837500013246 53.4915085251036,-0.388931747302823 53.490970618258,-0.389035131901407 53.4908359136309,-0.389163292020404 53.4907474779204,-0.392785571246758 53.4886194723805,-0.392991088021876 53.4884819123211,-0.393009961061658 53.4884730868245,-0.393141982661815 53.4886290273123,-0.393286314876635 53.4887982574232,-0.393566519829658 53.489129322114,-0.394046543278184 53.4896852850733,-0.394262646531645 53.4899379095686,-0.394290360181131 53.4899706451574)))</t>
  </si>
  <si>
    <t>MULTIPOLYGON (((-0.411648733776389 53.4834660997245,-0.410536266034541 53.4811149626722,-0.410616615965134 53.4811004662703,-0.411272939417139 53.4809869348858,-0.411861172688261 53.4808806774687,-0.412312378826838 53.4808007941438,-0.412321696291531 53.4808205414411,-0.412522722742227 53.480784273014,-0.412529099959167 53.4807831126797,-0.412919751930755 53.4807174665367,-0.413628092226427 53.4831198075456,-0.411648733776389 53.4834660997245)))</t>
  </si>
  <si>
    <t>MULTIPOLYGON (((-0.40947153506794 53.4838469596806,-0.408360367123309 53.4814983156904,-0.408745959616144 53.4814309275603,-0.409545864345701 53.4812904619011,-0.409970742313668 53.4812165574586,-0.410093622894959 53.4811948213657,-0.410536266034541 53.4811149626722,-0.411648733776389 53.4834660997245,-0.40947153506794 53.4838469596806)))</t>
  </si>
  <si>
    <t>MULTIPOLYGON (((-0.407292696211671 53.4842280596178,-0.406181656814542 53.4818794330642,-0.406207150869358 53.4818750582627,-0.407169206168186 53.4817102614585,-0.407173559508075 53.4817095095247,-0.407173625379191 53.4817093602815,-0.407178567597028 53.4817084975346,-0.407182545339987 53.4817174517053,-0.407258620581863 53.4816941042989,-0.40744391660873 53.4816597176044,-0.407956845117714 53.4815688357081,-0.408360367123309 53.4814983156904,-0.40947153506794 53.4838469596806,-0.407292696211671 53.4842280596178)))</t>
  </si>
  <si>
    <t>MULTIPOLYGON (((-0.405116303995544 53.4846127920797,-0.404006841616068 53.4822672459995,-0.404136249429138 53.482239097615,-0.404140622376692 53.4822381473896,-0.404362246747222 53.4821988477992,-0.404770387451763 53.4821280068354,-0.404951812750899 53.4820957522293,-0.405196089000147 53.4820539333755,-0.405368731860014 53.4820232932207,-0.405536985784583 53.4819934617496,-0.405675989822867 53.4819684411801,-0.405992028773941 53.4819119731977,-0.406181656814542 53.4818794330642,-0.407292696211671 53.4842280596178,-0.405907484834449 53.4844703221027,-0.405116303995544 53.4846127920797)))</t>
  </si>
  <si>
    <t>MULTIPOLYGON (((-0.402875156592933 53.484927958421,-0.401798448234346 53.4826514050002,-0.402188848432098 53.4825838131929,-0.40302238744134 53.4824397952221,-0.403593577701445 53.482339012905,-0.403693489469165 53.4823208213601,-0.403917269123885 53.4822830651603,-0.404003321558413 53.482268011669,-0.404006841616068 53.4822672459995,-0.405116303995544 53.4846127920797,-0.404904952973031 53.4846508495498,-0.404744157487261 53.4846785485629,-0.404654922577888 53.4846909316797,-0.4045655639494 53.4847025939378,-0.404200901687693 53.4847490559398,-0.404028326355964 53.4847733606261,-0.404021811805968 53.4847742624841,-0.403235916818506 53.4848805397116,-0.402875156592933 53.484927958421)))</t>
  </si>
  <si>
    <t>MULTIPOLYGON (((-0.401798448234346 53.4826514050002,-0.402875156592933 53.484927958421,-0.401357323591071 53.4851274507672,-0.401104905470752 53.4851627291656,-0.400606237479583 53.4852335466716,-0.400420434387257 53.4852608135929,-0.400288467518643 53.4848891456714,-0.399694696961149 53.4832167927759,-0.399694520040049 53.483216287907,-0.399625243541535 53.4830267645722,-0.399624965947427 53.4830261316066,-0.399624462373421 53.48302469557,-0.399624416768479 53.4830244657329,-0.399707580438931 53.4830142911152,-0.399780604822419 53.4830032256268,-0.400404906044158 53.4828931923251,-0.401257146516935 53.4827451204386,-0.401798448234346 53.4826514050002)))</t>
  </si>
  <si>
    <t>MULTIPOLYGON (((-0.394840710298818 53.4858976208244,-0.395014185337341 53.4858257891246,-0.395483794178194 53.4856308225528,-0.395728486338278 53.4857166277654,-0.395827254446552 53.4857513032591,-0.395859067962706 53.4857629667132,-0.395874836918883 53.4857694150503,-0.395874830757641 53.4857694185634,-0.396548830039461 53.4861920366499,-0.396068215554225 53.4863995166521,-0.396008762937935 53.4864173268458,-0.395950984301062 53.4864347100053,-0.395551134335052 53.4865942071408,-0.395493276307407 53.4865737432679,-0.39539523369265 53.486495838834,-0.395014983398998 53.4861520188904,-0.394796011584561 53.48594781011,-0.394781062960521 53.4859197552308,-0.39476195093919 53.4858838911979,-0.394810763428537 53.4858684557667,-0.394840710298818 53.4858976208244)))</t>
  </si>
  <si>
    <t>MULTIPOLYGON (((-0.395842715403092 53.4890256326981,-0.394444764369452 53.4876381925745,-0.39540003032829 53.4870756242571,-0.395653012569543 53.486921975757,-0.395688740576727 53.4868978245725,-0.395714577420548 53.486892148452,-0.395814104663181 53.4869627013254,-0.395946471129763 53.4870377398784,-0.396111895181917 53.4871594266235,-0.396228401177698 53.4872274202367,-0.396348843158417 53.4872909718906,-0.396519736562421 53.4873676052646,-0.396717013695715 53.4874600537467,-0.396909445234143 53.487565111799,-0.397106428906448 53.4876893777119,-0.397263302746846 53.4877861377968,-0.397324441814858 53.4878195884275,-0.397384927457853 53.4878623791094,-0.397500316261514 53.487976111865,-0.39762301777552 53.488119787788,-0.397725577210387 53.4882380227906,-0.397793233917494 53.4883145292294,-0.397489477085469 53.4884236331547,-0.396999813542495 53.4886026426079,-0.396999324682569 53.488602815839,-0.396351074892699 53.4888397904873,-0.396350845525306 53.4888398773036,-0.396071017624558 53.4889421701171,-0.396020398118807 53.4889606741411,-0.395992765208789 53.4889707759266,-0.395842715403092 53.4890256326981)))</t>
  </si>
  <si>
    <t>MULTIPOLYGON (((-0.394075263547931 53.48765984463,-0.39233843722789 53.4854876155685,-0.393783118310367 53.4850606638322,-0.393939634453139 53.4852294812053,-0.394184936416096 53.4854945449211,-0.394291822204071 53.485625515105,-0.394253526015628 53.4856777687212,-0.394235740034498 53.4857177128105,-0.394223547493662 53.4857651904272,-0.394221465738087 53.4857693101198,-0.394135748380519 53.4859389434037,-0.394124413914831 53.485961342562,-0.394025155064755 53.4861575145054,-0.394558839764919 53.4867445812747,-0.394960490480082 53.4871763353594,-0.395001772864402 53.4872206682255,-0.394414623161442 53.4875661530778,-0.394303060533172 53.4875509012318,-0.394240920983847 53.4875879115194,-0.394158280259036 53.4876369617249,-0.394131758723593 53.4876447857416,-0.394115647520878 53.4876483448368,-0.394088399880824 53.4876554399491,-0.394075263547931 53.48765984463)))</t>
  </si>
  <si>
    <t>MULTIPOLYGON (((-0.39233843722789 53.4854876155685,-0.39085887886784 53.4836371486389,-0.39234872266573 53.4831968531945,-0.392446586526328 53.4833453980963,-0.392479171315496 53.4833924007538,-0.392555795168975 53.4835063364824,-0.39256413909576 53.4835208315311,-0.39260058985454 53.4835811902785,-0.392638580982015 53.4836406716881,-0.392655596226069 53.4836649908303,-0.39269677802842 53.483723795045,-0.392740962402497 53.4837829101876,-0.392922881819578 53.4840218628505,-0.393058410177378 53.4841923226036,-0.393214814208245 53.4843886831077,-0.393505959296158 53.4847405707157,-0.393639673062251 53.4849073206743,-0.393690842355126 53.484961134823,-0.393783118310367 53.4850606638322,-0.39233843722789 53.4854876155685)))</t>
  </si>
  <si>
    <t>MULTIPOLYGON (((-0.39085887886784 53.4836371486389,-0.389559304890104 53.4820117861433,-0.389890567135656 53.4819163146442,-0.390839339316509 53.4816470947485,-0.391164495720972 53.4818877077308,-0.391376599655578 53.482041402203,-0.391534209661157 53.4821616421088,-0.391666841233335 53.4822609602897,-0.391755283744128 53.482333255368,-0.391772795149473 53.4823484131579,-0.391813872588018 53.482386001608,-0.391832867633228 53.4824057647836,-0.391866095469689 53.4824436970894,-0.391899180662093 53.4824854029688,-0.391959421217768 53.4825662170389,-0.391989305996059 53.4826088686662,-0.392033438452349 53.4826732862127,-0.392060529351704 53.4827141023852,-0.392234440290417 53.4830012220014,-0.392341542046952 53.4831859538845,-0.39234872266573 53.4831968531945,-0.39085887886784 53.4836371486389)))</t>
  </si>
  <si>
    <t>MULTIPOLYGON (((-0.383377293488905 53.4881227168466,-0.380517967135481 53.4888631798465,-0.380335675768713 53.4885700323533,-0.380318590427241 53.4885437310542,-0.38022919202784 53.4883977932378,-0.379963260376424 53.4879797828652,-0.379830587492335 53.4877829174001,-0.379726196168493 53.4876349772388,-0.379689438541163 53.487583060329,-0.380026564309151 53.4874655541541,-0.380449706424228 53.4873175708483,-0.380742958171996 53.4876118961679,-0.38178486816454 53.4872448569828,-0.382364573456941 53.487043527727,-0.383377293488905 53.4881227168466)))</t>
  </si>
  <si>
    <t>MULTIPOLYGON (((-0.403506634911714 53.4895547568397,-0.402688763071207 53.4873072716195,-0.404039531588379 53.4871215755871,-0.404143263011646 53.4874492868246,-0.404297829499297 53.4878890370457,-0.404389382207178 53.4882327525026,-0.404506185738665 53.4886145552289,-0.40461790565556 53.4889591652254,-0.404684084620306 53.4891557471717,-0.404707954912933 53.4891944489117,-0.404716030800414 53.489204175174,-0.40457349891176 53.489238768854,-0.404408789017543 53.4892779241961,-0.404234875555676 53.4893293589604,-0.404084328904416 53.4893726554653,-0.403846409817389 53.4894466972884,-0.403611449032205 53.4895222164211,-0.403506634911714 53.4895547568397)))</t>
  </si>
  <si>
    <t>MULTIPOLYGON (((-0.402688763071207 53.4873072716195,-0.401911894993804 53.4851724634068,-0.401945964371881 53.4851681562046,-0.401948114632963 53.4851678874006,-0.402403901816645 53.4851068018474,-0.402405578510926 53.4851065815417,-0.402890046110924 53.4850445541528,-0.403264892387803 53.4849972307414,-0.403265448135307 53.4849971608558,-0.403375734250614 53.4849836989219,-0.403380974220964 53.4849830668357,-0.40352555355458 53.4854354469951,-0.403712537407368 53.4860671932023,-0.403712916750007 53.4860684100201,-0.403798012644805 53.4863397185204,-0.403903425686462 53.4866432541112,-0.403944970871533 53.4868213467038,-0.404035737231445 53.4871095882533,-0.404039531588379 53.4871215755871,-0.402688763071207 53.4873072716195)))</t>
  </si>
  <si>
    <t>MULTIPOLYGON (((-0.399958689056608 53.4879139836921,-0.399124370721542 53.4855355538115,-0.399512457212746 53.4854867860759,-0.400264225800294 53.4853827745747,-0.400327771668237 53.4853747499181,-0.401240889683087 53.4877377509657,-0.399958689056608 53.4879139836921)))</t>
  </si>
  <si>
    <t>MULTIPOLYGON (((-0.400761553814826 53.4902027474058,-0.399958689056608 53.4879139836921,-0.401240889683087 53.4877377509657,-0.402092354977718 53.4899409684781,-0.401338976927999 53.4901489684231,-0.401240002309983 53.4901755108184,-0.40121360628603 53.4901679664443,-0.401166923630868 53.4901547572281,-0.401126381448912 53.4901506166749,-0.401079474960389 53.4901553829578,-0.400832450343607 53.4901907348536,-0.400761553814826 53.4902027474058)))</t>
  </si>
  <si>
    <t>MULTIPOLYGON (((-0.396021009561317 53.4869117214575,-0.396015269972845 53.486908048746,-0.395899209345766 53.4868282822436,-0.395889070931343 53.4868173599865,-0.395876529822564 53.4867902238983,-0.395878239592721 53.4867848550716,-0.395903225646522 53.4867657725777,-0.395961367865565 53.4867307744406,-0.396070814994697 53.4866702158865,-0.396165891049517 53.4866150395983,-0.396283114972066 53.4865600695316,-0.396356459283643 53.4865375913252,-0.39641187970029 53.4865307827846,-0.396597650458217 53.4864965980842,-0.396661620662178 53.4864748938005,-0.396823041568735 53.4864149425586,-0.396830106688491 53.4864114415868,-0.396813006452668 53.4863972798098,-0.396905408038874 53.486353033092,-0.396947424687841 53.4863299528796,-0.397013341221243 53.4862965893493,-0.397073475906702 53.4862566732911,-0.397128766125678 53.4862173233018,-0.397173893759142 53.4861836773758,-0.397224016071718 53.4861494736368,-0.397298902078057 53.4860740678042,-0.397358733928285 53.4859821913405,-0.397377745898817 53.4859496326449,-0.39744626089662 53.485819310345,-0.397456794249236 53.485799764126,-0.397460595929779 53.4857948700841,-0.397473872971718 53.4857824648631,-0.397483160167996 53.4857760271773,-0.397487747138076 53.4857742908053,-0.397492367970588 53.4857716559596,-0.397498461354381 53.4857699397787,-0.397504739241671 53.4857673271432,-0.397509326176084 53.4857655916688,-0.397521362332528 53.4857621563874,-0.397536663508536 53.4857560689838,-0.397573374421465 53.4857457738991,-0.397699557920727 53.485716902445,-0.397824201017616 53.4856889082441,-0.397858543885269 53.4856814570069,-0.397863115556244 53.4856921256131,-0.39787117230925 53.4857183006738,-0.397872668199233 53.4857222400428,-0.397892575121637 53.4857702749051,-0.39799263644489 53.4859906870058,-0.398316116936215 53.4868058506864,-0.398341236108562 53.4868592247975,-0.39841210856385 53.4870183853893,-0.39851290871236 53.487263343989,-0.398524910026508 53.4872968558383,-0.398488619508619 53.4873079649861,-0.398384859553777 53.487341634113,-0.398313107668134 53.4873658437574,-0.398245942884167 53.4873883151615,-0.398189627992413 53.4874028415481,-0.398133482217776 53.4874128782357,-0.397894274486645 53.4874411364072,-0.397765614848755 53.4874555902733,-0.397667389270833 53.487462364236,-0.397607299605018 53.4874570642618,-0.39750453814726 53.4874242245034,-0.397415470561066 53.4873879725022,-0.397287742867492 53.4873377200824,-0.397222271054218 53.4873152690461,-0.397125366748666 53.4872870021127,-0.396986755858399 53.4872455882371,-0.396892932487774 53.4872155663648,-0.396814275595519 53.4871830492096,-0.396723872014161 53.4871422850328,-0.396611278322066 53.4870904351718,-0.396488546388499 53.4870276603036,-0.396345266615575 53.4869502277577,-0.39622578555375 53.486881205524,-0.396190172917039 53.4868663458649,-0.396155524513791 53.4868658810695,-0.396114680870405 53.4868698268926,-0.396088664454767 53.4868802650055,-0.396045737993866 53.4868994682251,-0.396021009561317 53.4869117214575)))</t>
  </si>
  <si>
    <t>MULTIPOLYGON (((-0.402311460128267 53.4794732028486,-0.402998258572985 53.4808942194752,-0.399115317200133 53.4815619309099,-0.398765332887246 53.4805685473395,-0.398765019419653 53.4805676271328,-0.398627673155501 53.4801662308035,-0.398629956094886 53.4801656339313,-0.398695538751094 53.4801448473144,-0.398816082712317 53.4801132006162,-0.398854211692884 53.4801011253892,-0.398861964354959 53.4800993432692,-0.39890006290102 53.4800880757569,-0.398919846602011 53.4800829480406,-0.39897634273729 53.4800673441559,-0.399006741009169 53.4800604690284,-0.399014373443236 53.4800578771517,-0.399038134286365 53.4800511810098,-0.399041943686494 53.4800500661133,-0.399272559996601 53.4799971006133,-0.399273411286713 53.4799969043593,-0.399625519194398 53.4799118909844,-0.399656101614946 53.4799041210272,-0.399823671693398 53.4798722029942,-0.39982446846957 53.4798720536498,-0.400296363230511 53.4797816164728,-0.400297258244612 53.4797814594505,-0.400420557482217 53.4797606360526,-0.400606167046536 53.4797298581227,-0.400906049983117 53.4796818217755,-0.400907081632079 53.4796816378105,-0.401043179985869 53.4796578585001,-0.401043829996741 53.479657764716,-0.401141670780667 53.4796435335063,-0.401526280764507 53.4795860824929,-0.401527205218668 53.4795859438337,-0.401956413054685 53.4795250703869,-0.402311460128267 53.4794732028486)))</t>
  </si>
  <si>
    <t>MULTIPOLYGON (((-0.402998258572985 53.4808942194752,-0.402311460128267 53.4794732028486,-0.40242038834552 53.4794572896832,-0.402969219643514 53.4793754300143,-0.402971856545541 53.479375035552,-0.403353244273006 53.4793234073851,-0.403989173229782 53.4792415088782,-0.403991355347208 53.4792412260817,-0.404222114882707 53.4792106668358,-0.404223826212901 53.4792104406758,-0.404226721748575 53.4792095786,-0.404230658029613 53.479209092684,-0.406382154056505 53.4789346723598,-0.40658512327713 53.478906903247,-0.406608673783927 53.4790304627966,-0.406614252565784 53.4790581333275,-0.406614290345867 53.4790583315951,-0.406850808090541 53.480231587209,-0.402998258572985 53.4808942194752)))</t>
  </si>
  <si>
    <t>MULTIPOLYGON (((-0.403671574409856 53.4823248115686,-0.402991139156474 53.4808953700674,-0.406850808090541 53.480231587209,-0.406958147108368 53.4807640261869,-0.407154950097012 53.4817018004965,-0.407174067142496 53.4816983704913,-0.407178567597029 53.4817084975346,-0.407173625379194 53.4817093602815,-0.407173559508076 53.4817095095247,-0.407169206168187 53.4817102614585,-0.406207150869359 53.4818750582627,-0.405992028773942 53.4819119731977,-0.405675989822868 53.4819684411801,-0.405536985784582 53.4819934617496,-0.405368731860017 53.4820232932207,-0.40519608900015 53.4820539333755,-0.404951812750899 53.4820957522293,-0.404770387451764 53.4821280068354,-0.404362246747224 53.4821988477992,-0.404140622376693 53.4822381473896,-0.404136249429139 53.482239097615,-0.404003321558414 53.482268011669,-0.403917269123886 53.4822830651603,-0.403693489469167 53.4823208213601,-0.403671574409856 53.4823248115686)))</t>
  </si>
  <si>
    <t>MULTIPOLYGON (((-0.391295442512499 53.4864582431111,-0.388971495458886 53.4872345725957,-0.387183418245549 53.4853304114931,-0.387219170498903 53.4853181346792,-0.389641910792133 53.4844674873213,-0.389655847776075 53.4844811230177,-0.389776634378325 53.484623469064,-0.389776764541666 53.4846236137467,-0.389883080590021 53.4847489188607,-0.390255776126594 53.4851913552487,-0.390813950360432 53.4858942803217,-0.391025213327527 53.4861383959743,-0.391295442512499 53.4864582431111)))</t>
  </si>
  <si>
    <t>MULTIPOLYGON (((-0.388971495458886 53.4872345725957,-0.391295442512499 53.4864582431111,-0.391581479374438 53.4867967945957,-0.391938682241171 53.4872114207729,-0.392319460075376 53.4876564769047,-0.392926045401978 53.4883723577176,-0.39289381909365 53.4883915211616,-0.39285650921107 53.4884135827239,-0.392709483736708 53.4884990710479,-0.391506456718146 53.4891981689889,-0.391467875596711 53.4892219209832,-0.391064846874544 53.489463578333,-0.388971495458886 53.4872345725957)))</t>
  </si>
  <si>
    <t>MULTIPOLYGON (((-0.388570311451316 53.4868073602961,-0.385396047082899 53.4878676212333,-0.384063682537466 53.4864486303113,-0.384305345949131 53.4863620376129,-0.384694767715114 53.4862241919495,-0.384794804774165 53.4861887593158,-0.384781683171197 53.4861783243652,-0.385407580214646 53.4859462342817,-0.385633581445244 53.4858646070953,-0.386360351139381 53.4856130360509,-0.387183418245549 53.4853304114931,-0.388570311451316 53.4868073602961)))</t>
  </si>
  <si>
    <t>MULTIPOLYGON (((-0.389937285692504 53.4882629816888,-0.386762945254185 53.4893232781908,-0.385396047082899 53.4878676212333,-0.388570311451316 53.4868073602961,-0.389937285692504 53.4882629816888)))</t>
  </si>
  <si>
    <t>MULTIPOLYGON (((-0.386762945254185 53.4893232781908,-0.389937285692504 53.4882629816888,-0.391064846874544 53.489463578333,-0.390962001504717 53.4895252440917,-0.390259165003851 53.4899346836527,-0.389657960797474 53.4902870586259,-0.389460729219397 53.4904003627905,-0.389070544264878 53.4906333220902,-0.388953320263677 53.490703656828,-0.388949248084647 53.4907060650193,-0.388949080053638 53.4907061634351,-0.388828426743639 53.4907774838125,-0.388787137418336 53.4908105302268,-0.388772452227141 53.4908158337673,-0.388771184767962 53.490816265252,-0.388740891000885 53.4908599044684,-0.388731825639885 53.49090023405,-0.388728471921899 53.4909091781316,-0.388717908732646 53.4909094861402,-0.388268435964696 53.4909263949591,-0.386762945254185 53.4893232781908)))</t>
  </si>
  <si>
    <t>MULTIPOLYGON (((-0.384063682537466 53.4864486303113,-0.388268435964696 53.4909263949591,-0.386941059932584 53.4909763198671,-0.38691554744426 53.4909773231594,-0.386887945003474 53.4909499829165,-0.386746084219214 53.4907986463636,-0.386745872679503 53.4907984214741,-0.386745720523066 53.4907982603108,-0.386745565523944 53.4907980946145,-0.386495345670385 53.4905311784898,-0.386267749044367 53.490292587651,-0.386025942085152 53.4900313322216,-0.385707156892376 53.4896935251756,-0.385421900910137 53.4893858355603,-0.385226864637163 53.489179235613,-0.385215464198587 53.4891619130043,-0.38520619782235 53.4891518996389,-0.384899338347329 53.4888286351437,-0.384242432199939 53.4881365736044,-0.384123544264132 53.4880127125506,-0.383939495103679 53.4878187530978,-0.383601773661016 53.4874645043556,-0.382993370493709 53.486824599936,-0.383335238155862 53.4867049004086,-0.383790406323408 53.486546549471,-0.384063682537466 53.4864486303113)))</t>
  </si>
  <si>
    <t>MULTIPOLYGON (((-0.405850830014149 53.4846278110379,-0.40686110306724 53.4866903560757,-0.404057649445985 53.4871788143928,-0.404035737231445 53.4871095882533,-0.403944970871533 53.4868213467038,-0.403903425686462 53.4866432541112,-0.403798012644805 53.4863397185204,-0.403712916750008 53.4860684100201,-0.403712537407367 53.4860671932023,-0.403525553554583 53.4854354469951,-0.403380974220961 53.4849830668357,-0.40401694881032 53.4849038228096,-0.404179220540568 53.4848809986789,-0.404447440528343 53.4848502394449,-0.405411022191304 53.484703805008,-0.405850830014149 53.4846278110379)))</t>
  </si>
  <si>
    <t>MULTIPOLYGON (((-0.408500743742461 53.4841615170979,-0.409513173896841 53.486228202583,-0.40686110306724 53.4866903560757,-0.405850830014149 53.4846278110379,-0.407205732103106 53.4843936868607,-0.408500743742461 53.4841615170979)))</t>
  </si>
  <si>
    <t>MULTIPOLYGON (((-0.409513173896841 53.486228202583,-0.408500743742461 53.4841615170979,-0.409100691461424 53.4840539527861,-0.411129722255222 53.4836948449145,-0.41213095409264 53.4857029505111,-0.412131851130001 53.4857047593773,-0.412131962919946 53.4857049945827,-0.412162421325298 53.4857664719063,-0.409513173896841 53.486228202583)))</t>
  </si>
  <si>
    <t>MULTIPOLYGON (((-0.408058938370723 53.4864816282381,-0.408711373497768 53.4878134360826,-0.404486316380911 53.4885496075407,-0.404389382207178 53.4882327525026,-0.404297829499297 53.4878890370457,-0.404143263011647 53.4874492868246,-0.404057649445985 53.4871788143928,-0.408058938370723 53.4864816282381)))</t>
  </si>
  <si>
    <t>MULTIPOLYGON (((-0.408711373497768 53.4878134360826,-0.408058938370723 53.4864816282381,-0.412162421325298 53.4857664719063,-0.412368515364273 53.4861824478667,-0.412570414764665 53.486587844702,-0.412822524189297 53.4870969427712,-0.408711373497768 53.4878134360826)))</t>
  </si>
  <si>
    <t>MULTIPOLYGON (((-0.404486316380911 53.4885496075407,-0.412822524189297 53.4870969427712,-0.412888567545439 53.4872303055979,-0.413137658508891 53.4877647860364,-0.413029948760939 53.4877914937117,-0.411881701595325 53.4880787385736,-0.411881397004768 53.4880788226225,-0.411562473869555 53.4881632201113,-0.411284705918338 53.4882312629156,-0.41117638158535 53.4882541861734,-0.411132715310799 53.4882610669868,-0.411041088688456 53.4882647017343,-0.410836211420333 53.4882738473214,-0.410663603796462 53.488282609787,-0.410563951290788 53.4882953056247,-0.410333510286603 53.4883270331168,-0.410042214807423 53.4883657679946,-0.409898949071228 53.4883839070024,-0.409555584910149 53.4884163784687,-0.409267004463251 53.4884469682517,-0.408709224845726 53.4884977028692,-0.408297400857868 53.4885389688615,-0.40779763351188 53.4885901128418,-0.407361419018441 53.4886305995483,-0.407312561420767 53.488643253736,-0.407198615407668 53.48867130779,-0.406868027039446 53.488760933651,-0.406698579485832 53.4887898675485,-0.406373590865904 53.4888466632828,-0.405948329907131 53.4889165050382,-0.405630632312512 53.4889677336295,-0.40529696944939 53.4890266580908,-0.404969318347368 53.4890860213938,-0.404804612873737 53.4891250847477,-0.404684084620307 53.4891557471717,-0.404617905655562 53.4889591652254,-0.404506185738667 53.4886145552289,-0.404486316380911 53.4885496075407)))</t>
  </si>
  <si>
    <t>MULTIPOLYGON (((-0.39250923657129 53.4819615349847,-0.394929757914118 53.4849859073179,-0.394150072886284 53.4852305143855,-0.394112886889198 53.4851914457147,-0.394070649127385 53.4851485406589,-0.393873090063117 53.4849203466683,-0.393689501391317 53.4847133731512,-0.393471307847892 53.4844490339854,-0.393356770600547 53.4843013282192,-0.393236647902471 53.4841459072788,-0.393094439493155 53.4839527939486,-0.39291650616964 53.4837200096408,-0.392794687763773 53.4835616888162,-0.392710918745561 53.4834374075993,-0.392611618804067 53.4832934134472,-0.392545169233041 53.4831894119744,-0.392463384646307 53.4830565284313,-0.392342439159015 53.4828512947007,-0.392256782253931 53.4827012819753,-0.392200360996968 53.4826071244838,-0.392168985538853 53.4825600481105,-0.392136223976984 53.4825137603246,-0.392120469994819 53.4824919759484,-0.392096255938262 53.4824547923977,-0.392072158511685 53.4824185111372,-0.392061969974757 53.4824049818599,-0.392036048104066 53.482369124619,-0.392008582582097 53.4823342363305,-0.391998470003957 53.4823226848141,-0.391954780865108 53.4822744521376,-0.391919630016978 53.4822395503479,-0.391870325765265 53.482188369133,-0.39215884181739 53.4820789855372,-0.39250923657129 53.4819615349847)))</t>
  </si>
  <si>
    <t>MULTIPOLYGON (((-0.384553312400265 53.4893759228399,-0.38236457345694 53.487043527727,-0.38281128576937 53.4868883863844,-0.382993372000145 53.4868245999564,-0.383601773661013 53.4874645043556,-0.383939495103676 53.4878187530978,-0.384123544264132 53.4880127125506,-0.384242432199937 53.4881365736044,-0.384899338347326 53.4888286351437,-0.385206197822349 53.4891518996389,-0.385215464198585 53.4891619130043,-0.385226864637159 53.489179235613,-0.38488200188932 53.4892742685845,-0.384715707972278 53.4893268557768,-0.384553312400265 53.4893759228399)))</t>
  </si>
  <si>
    <t>MULTIPOLYGON (((-0.394150072886283 53.4852305143855,-0.394929757914117 53.4849859073179,-0.392509236571288 53.4819615349847,-0.39254559747317 53.481949346994,-0.39254684932869 53.4819489215529,-0.392693839662856 53.4818996508008,-0.392779513199909 53.4818697886529,-0.392783031388738 53.4818720014706,-0.392783516879345 53.4818723145322,-0.392792318916737 53.4818778722836,-0.392803963797694 53.4818847708004,-0.39281622484252 53.48189131623,-0.392828951254058 53.4818975110395,-0.392842297157085 53.4819032647111,-0.392856118817054 53.4819083928296,-0.392870570086777 53.481912812065,-0.39288550030432 53.4819165212906,-0.392900919961154 53.4819192428783,-0.393016351964439 53.4819351477421,-0.393266472165326 53.4822535284017,-0.393909739389645 53.4822425078619,-0.394394391481717 53.4822760697134,-0.396889798421095 53.4845548771354,-0.396882591093482 53.4845597236399,-0.396873164972412 53.4845658933338,-0.396864074234639 53.4845711623041,-0.396856191844102 53.4845763611796,-0.396826828941915 53.4845956530586,-0.39682214380053 53.4845999958776,-0.396783275133055 53.4846315654795,-0.396739231772016 53.484676462394,-0.39669178787899 53.484727603486,-0.396650106061207 53.484753833444,-0.396596169911904 53.4847852917078,-0.396526719558635 53.4848204962556,-0.396501845197575 53.4848326586325,-0.396498008160146 53.4848344931197,-0.396148102364879 53.4845693811481,-0.395812327976348 53.4847167941028,-0.396181544006143 53.4850053602335,-0.396025269923094 53.4852314385523,-0.396024679613091 53.4852323043903,-0.395946058612888 53.485282847126,-0.395886082125201 53.4853145836028,-0.395848308068924 53.4853290879661,-0.395826522486243 53.4853352688328,-0.395798660559429 53.4853427138583,-0.395736070033214 53.4853518521011,-0.395617540755298 53.4853695894019,-0.395434773345135 53.4854041742366,-0.395024207493224 53.485484418332,-0.394502164681223 53.4855991265798,-0.394441877851202 53.4855392565302,-0.394349294573301 53.4854398223807,-0.394150072886283 53.4852305143855)))</t>
  </si>
  <si>
    <t>MULTIPOLYGON (((-0.380517967135481 53.4888631798465,-0.383377293488905 53.4881227168466,-0.384553312400267 53.4893759228399,-0.384522057047687 53.4893853664987,-0.384124105410874 53.4895049398612,-0.383313613636096 53.489749791339,-0.383311627730759 53.4897496925716,-0.383311123755872 53.4897496668794,-0.383302939630762 53.4897343903901,-0.382834726792971 53.4897123315627,-0.382791819568788 53.4897103084166,-0.382758442948063 53.4897120143806,-0.382726328830794 53.4897003442747,-0.3826146581712 53.4897057203699,-0.38261284621857 53.4897058037297,-0.381065537730533 53.489780256453,-0.380968022506772 53.4896177580417,-0.38085492488918 53.4894211588982,-0.380777027579152 53.4892897592505,-0.380697761073053 53.4891547461853,-0.380518891397736 53.4888646661767,-0.380517967135481 53.4888631798465)))</t>
  </si>
  <si>
    <t>MULTIPOLYGON (((-0.402991139156474 53.4808953700674,-0.403671574409856 53.4823248115686,-0.403593577701447 53.482339012905,-0.403022387441343 53.4824397952221,-0.402188848432097 53.4825838131929,-0.401257146516937 53.4827451204386,-0.400404906044159 53.4828931923251,-0.39978060482242 53.4830032256268,-0.399707580438932 53.4830142911152,-0.39962441676848 53.4830244657329,-0.399607287472869 53.4829752871043,-0.399599399606469 53.4829526175202,-0.399375582973999 53.4823084157449,-0.39937451453512 53.4823053711532,-0.399374446322293 53.482305181465,-0.399138662272075 53.4816281707378,-0.399137926340213 53.4816261023375,-0.399115317200133 53.4815619309099,-0.402991139156474 53.4808953700674)))</t>
  </si>
  <si>
    <t>MULTIPOLYGON (((-0.397260387921743 53.4824618000265,-0.397949459954207 53.4837270585707,-0.39793339614583 53.4837268433117,-0.397901664814334 53.4837290240886,-0.397891052610046 53.4837306824305,-0.397883487111888 53.4837314781772,-0.397856086829471 53.4837347084984,-0.397842428286406 53.4837372195461,-0.397828800074222 53.4837389255595,-0.39781664770208 53.4837414612833,-0.397727483130576 53.4837643737708,-0.39772518546199 53.4837649560459,-0.39745858458318 53.483893965589,-0.397458385067037 53.4838940608977,-0.39745648779845 53.4838924164975,-0.397450267919573 53.4838949768705,-0.397365554638455 53.483929850559,-0.397306769390396 53.4839540527147,-0.397321900621118 53.4839524577007,-0.397326570205108 53.483952522995,-0.397367306001055 53.483951361104,-0.397397549777512 53.4839526654465,-0.397426317783013 53.4839531382677,-0.397470665330508 53.4839521173447,-0.397414687305493 53.4840337977594,-0.39740656462471 53.4840453767348,-0.397427470651671 53.484058510738,-0.397430600166971 53.4840594507163,-0.397432038830963 53.4840612669572,-0.397435014223363 53.484062297459,-0.3974364529215 53.4840641128014,-0.397439394418546 53.4840660426752,-0.397440833116978 53.4840678580175,-0.397442456312742 53.4840687769053,-0.397446765298131 53.4840744116115,-0.397446697676371 53.4840762058636,-0.397448098992192 53.4840790131208,-0.397449537725298 53.4840808275645,-0.397449466548166 53.4840827161563,-0.397451089676941 53.4840836368409,-0.397450837524383 53.484086328446,-0.397452355648607 53.4840900352976,-0.39745375703296 53.4840928407578,-0.397453618200603 53.4840965245001,-0.397454989076007 53.4841001394852,-0.397456439579637 53.4841056405888,-0.397462119582429 53.4841148866856,-0.397462017964367 53.4841175830053,-0.397480389556396 53.4841939684298,-0.397504595050557 53.4843115103412,-0.397498999219751 53.484340020334,-0.397487171266197 53.4843739329464,-0.39747899614198 53.4843909011933,-0.397183738716067 53.484455172693,-0.397136499380741 53.4844689231105,-0.397109079961971 53.4844766449478,-0.397072452936343 53.484488738866,-0.397066209049358 53.4844904539056,-0.397058609497461 53.4844921489709,-0.397049469637535 53.4844947241093,-0.397031257825694 53.4844980729446,-0.397022117962882 53.4845006480809,-0.397014518407462 53.4845023431434,-0.397006881491208 53.4845050292215,-0.396999285355453 53.4845066335372,-0.396991614599557 53.4845102171894,-0.396985487471291 53.4845128327179,-0.396977857461262 53.4845153355056,-0.396959510009706 53.4845222818177,-0.396944209233365 53.4845283682528,-0.396933310630728 53.48453361928,-0.396922596671256 53.4845379702586,-0.396913392501559 53.4845422506891,-0.396904151035094 53.484547520338,-0.396899564208672 53.4845492557903,-0.396890322772845 53.4845545245397,-0.396889798421094 53.4845548771354,-0.394926275298856 53.4827618112266,-0.397260387921743 53.4824618000265)))</t>
  </si>
  <si>
    <t>MULTIPOLYGON (((-0.396309544983653 53.4807158836419,-0.397260387921743 53.4824618000265,-0.394926275298856 53.4827618112266,-0.394394391481718 53.4822760697134,-0.394402950994608 53.4822766624543,-0.394727577653855 53.4819516497779,-0.395051499050021 53.4817544418543,-0.395376728700341 53.4816032389203,-0.394983838323364 53.4811435851165,-0.395002717023276 53.4811383047626,-0.395072481977671 53.4811187952151,-0.395172947410434 53.4810882310117,-0.395175006205276 53.4810875862498,-0.395678635304896 53.4809301555506,-0.395869017105847 53.4808689770913,-0.396054996453689 53.4808086363967,-0.396137314389951 53.4807797174607,-0.396218156507753 53.4807499687354,-0.39622579279137 53.4807472826996,-0.396309544983653 53.4807158836419)))</t>
  </si>
  <si>
    <t>MULTIPOLYGON (((-0.39233843722789 53.4854876155685,-0.394075263547931 53.48765984463,-0.394056952382268 53.4876659844592,-0.39402371274263 53.4876721001432,-0.393949688773945 53.4876885449873,-0.393881263791112 53.4877083910331,-0.393801524464614 53.4877324897846,-0.393677698620382 53.487762558343,-0.393590950736009 53.4877766745886,-0.393519173418435 53.4877855084693,-0.3934399701348 53.4877954120266,-0.393306142652078 53.4878029616092,-0.393180459375084 53.4878183521735,-0.393070180403994 53.4878249612706,-0.392936205260546 53.4878204628243,-0.39281033992009 53.4878007923733,-0.392711591376229 53.4877814863361,-0.392581784250475 53.4877464817791,-0.392489537483132 53.4877146770831,-0.392427216557213 53.4876886691632,-0.392373764674525 53.4876672760043,-0.392319460075371 53.4876564769047,-0.391938682241169 53.4872114207729,-0.391581479374433 53.4867967945957,-0.391025213327523 53.4861383959743,-0.390844185286721 53.485929217157,-0.39233843722789 53.4854876155685)))</t>
  </si>
  <si>
    <t>MULTIPOLYGON (((-0.39085887886784 53.4836371486389,-0.39233843722789 53.4854876155685,-0.390844185286721 53.485929217157,-0.390813950360428 53.4858942803217,-0.39025577612659 53.4851913552487,-0.389883080590016 53.4847489188607,-0.389776764541661 53.4846236137467,-0.389776634378322 53.484623469064,-0.389655847776072 53.4844811230177,-0.389641910792128 53.4844674873213,-0.389631432379193 53.4844572422234,-0.389259611358644 53.4841097822127,-0.39085887886784 53.4836371486389)))</t>
  </si>
  <si>
    <t>MULTIPOLYGON (((-0.389559304890104 53.4820117861433,-0.39085887886784 53.4836371486389,-0.389259611358644 53.4841097822127,-0.38899926706419 53.4838664911494,-0.388985286185293 53.4838536269609,-0.388555190102357 53.4834590437368,-0.388514064295702 53.4834267571928,-0.388492072110057 53.4834105497029,-0.388486176169642 53.4834070551962,-0.388441812308272 53.4833767017248,-0.388418272991349 53.4833615520811,-0.388367812394939 53.4833330050476,-0.388342702106364 53.4833195421769,-0.388126246892129 53.4831932917946,-0.387783337991769 53.4829918015651,-0.38762127080486 53.4828859693344,-0.387534363912434 53.4828289736815,-0.387506425562551 53.4828106182674,-0.387493465796999 53.482798667491,-0.387480167300373 53.4827877009668,-0.387467053511913 53.4827758380029,-0.387455445997409 53.4827639962534,-0.387451097452847 53.4827594429514,-0.38734338817683 53.4826509266795,-0.387608858011668 53.4825734239007,-0.38807751060427 53.482439420772,-0.388609327373269 53.4822849625711,-0.389049499905963 53.482158662149,-0.389057421059537 53.4821564316692,-0.389559304890104 53.4820117861433)))</t>
  </si>
  <si>
    <t>MULTIPOLYGON (((-0.394444764369452 53.4876381925745,-0.395842715403092 53.4890256326981,-0.395226893617118 53.4892507712438,-0.394717173371883 53.4894371080447,-0.394093794967926 53.4896677973767,-0.394092006510762 53.4896684565395,-0.394046543278186 53.4896852850733,-0.393566519829659 53.489129322114,-0.393286314876636 53.4887982574232,-0.393141982661817 53.4886290273123,-0.39300996106166 53.4884730868245,-0.393215067445682 53.4883742646468,-0.393435308387591 53.4882498462698,-0.394238349668173 53.4877597528271,-0.394444764369452 53.4876381925745)))</t>
  </si>
  <si>
    <t>MULTIPOLYGON (((-0.402688763071207 53.4873072716195,-0.403506634911714 53.4895547568397,-0.403430725951239 53.4895783234102,-0.403098677994501 53.4896742990853,-0.40268118465801 53.4897857625006,-0.402376230996563 53.4898625914436,-0.402092354977718 53.4899409684781,-0.401155965465509 53.4875179919836,-0.402688763071207 53.4873072716195)))</t>
  </si>
  <si>
    <t>MULTIPOLYGON (((-0.401911894993804 53.4851724634068,-0.402688763071207 53.4873072716195,-0.401155965465509 53.4875179919836,-0.400327771668237 53.4853747499181,-0.400436954696745 53.4853609620539,-0.400590569141934 53.4853415660859,-0.400869160148262 53.4853042953427,-0.400869743356418 53.4853042168464,-0.401911894993804 53.4851724634068)))</t>
  </si>
  <si>
    <t>MULTIPOLYGON (((-0.399124370721542 53.4855355538115,-0.399958689056608 53.4879139836921,-0.397942356439744 53.4881911195684,-0.397937080201647 53.4881851208757,-0.397846064429345 53.4880805237538,-0.397685581778938 53.4878994866223,-0.397623376240499 53.4878303353796,-0.397643671682944 53.4878117299155,-0.397757116083282 53.4876811088813,-0.397774025980816 53.4876723462229,-0.397943649310337 53.4876107936224,-0.398480597672235 53.4874408987348,-0.398523557346055 53.4874207988596,-0.398537589340586 53.4874084036348,-0.398549048435781 53.4873842851971,-0.39854427468917 53.4873509618528,-0.398524910026506 53.4872968558383,-0.398512908712361 53.487263343989,-0.398412108563853 53.4870183853893,-0.398341236108563 53.4868592247975,-0.398316116936215 53.4868058506864,-0.397992636444892 53.4859906870058,-0.397892575121638 53.4857702749051,-0.397872668199233 53.4857222400428,-0.397871172309252 53.4857183006738,-0.397863115556243 53.4856921256131,-0.398155271448481 53.4856583734775,-0.398748325517865 53.4855828084145,-0.399124370721542 53.4855355538115)))</t>
  </si>
  <si>
    <t>MULTIPOLYGON (((-0.399958689056608 53.4879139836921,-0.400761553814826 53.4902027474058,-0.400689852240146 53.4902148963632,-0.400518493873768 53.4902422677653,-0.400309200428316 53.4902763227873,-0.400247126525142 53.4902835825903,-0.400203435818564 53.4902829979992,-0.400119304151391 53.4902755824659,-0.400038388756518 53.4902628109605,-0.400002535290419 53.4902542408336,-0.399933976784107 53.4902335478748,-0.399852298859802 53.4902009923519,-0.399810892698909 53.4901797619833,-0.39973139796358 53.4901292570654,-0.399591622294219 53.4900383942449,-0.399541582854826 53.4900062628985,-0.399326238486834 53.4897606699288,-0.398842150083563 53.489206740796,-0.398784291196088 53.4891421430379,-0.398685603381445 53.4890410377568,-0.398071497290716 53.4883379425749,-0.397942356439744 53.4881911195684,-0.399958689056608 53.4879139836921)))</t>
  </si>
  <si>
    <t>AB15</t>
  </si>
  <si>
    <t>Grass Ley</t>
  </si>
  <si>
    <t>AB9</t>
  </si>
  <si>
    <t>AB8</t>
  </si>
  <si>
    <t>105 206</t>
  </si>
  <si>
    <t>NC</t>
  </si>
  <si>
    <t>&lt;0.1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</si>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</sst>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5" fontId="0" fillId="0" borderId="0" xfId="0" applyNumberFormat="1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2" fontId="0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Font="1"/>
    <xf numFmtId="2" fontId="1" fillId="0" borderId="0" xfId="0" applyNumberFormat="1" applyFont="1" applyAlignment="1">
      <alignment vertical="center"/>
    </xf>
    <xf numFmtId="164" fontId="0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ont="1"/>
    <xf numFmtId="164" fontId="1" fillId="0" borderId="0" xfId="0" applyNumberFormat="1" applyFont="1" applyAlignment="1">
      <alignment vertical="center"/>
    </xf>
    <xf numFmtId="1" fontId="0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ont="1"/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H55"/>
  <sheetViews>
    <sheetView tabSelected="1" topLeftCell="F1" zoomScale="70" zoomScaleNormal="70" workbookViewId="0">
      <selection activeCell="AC1" sqref="AC1:AC1048576"/>
    </sheetView>
  </sheetViews>
  <sheetFormatPr defaultColWidth="9.109375" defaultRowHeight="25.5" customHeight="1" x14ac:dyDescent="0.3"/>
  <cols>
    <col min="1" max="1" width="16.109375" style="1" customWidth="1"/>
    <col min="2" max="2" width="8.5546875" style="1" customWidth="1"/>
    <col min="3" max="4" width="6.6640625" style="1" customWidth="1"/>
    <col min="5" max="6" width="9" style="1" customWidth="1"/>
    <col min="7" max="7" width="9.44140625" style="1" customWidth="1"/>
    <col min="8" max="8" width="11" style="1" customWidth="1"/>
    <col min="9" max="9" width="11.5546875" style="2" customWidth="1"/>
    <col min="10" max="10" width="6.44140625" style="1" customWidth="1"/>
    <col min="11" max="11" width="8.6640625" style="1" customWidth="1"/>
    <col min="12" max="13" width="14.6640625" style="1" customWidth="1"/>
    <col min="14" max="14" width="10.88671875" style="1" customWidth="1"/>
    <col min="15" max="15" width="16" style="1" bestFit="1" customWidth="1"/>
    <col min="16" max="16" width="11" style="1" customWidth="1"/>
    <col min="17" max="18" width="10.88671875" style="3" customWidth="1"/>
    <col min="19" max="20" width="9.109375" style="3"/>
    <col min="21" max="21" width="14.5546875" style="3" bestFit="1" customWidth="1"/>
    <col min="22" max="22" width="7.109375" style="1" customWidth="1"/>
    <col min="23" max="24" width="9.109375" style="3"/>
    <col min="25" max="25" width="11.33203125" style="3" customWidth="1"/>
    <col min="26" max="26" width="9.109375" style="16"/>
    <col min="27" max="27" width="9.109375" style="22"/>
    <col min="28" max="28" width="9.109375" style="19"/>
    <col min="29" max="29" width="9.109375" style="25"/>
    <col min="30" max="31" width="9.109375" style="19"/>
    <col min="32" max="16384" width="9.109375" style="3"/>
  </cols>
  <sheetData>
    <row r="1" spans="1:34" s="14" customFormat="1" ht="25.5" customHeight="1" x14ac:dyDescent="0.3">
      <c r="A1" s="10" t="s">
        <v>2</v>
      </c>
      <c r="B1" s="10" t="s">
        <v>3</v>
      </c>
      <c r="C1" s="10" t="s">
        <v>4</v>
      </c>
      <c r="D1" s="10" t="s">
        <v>0</v>
      </c>
      <c r="E1" s="10" t="s">
        <v>5</v>
      </c>
      <c r="F1" s="10" t="s">
        <v>26</v>
      </c>
      <c r="G1" s="11" t="s">
        <v>27</v>
      </c>
      <c r="H1" s="11" t="s">
        <v>28</v>
      </c>
      <c r="I1" s="12" t="s">
        <v>6</v>
      </c>
      <c r="J1" s="10" t="s">
        <v>1</v>
      </c>
      <c r="K1" s="10" t="s">
        <v>7</v>
      </c>
      <c r="L1" s="10" t="s">
        <v>34</v>
      </c>
      <c r="M1" s="10" t="s">
        <v>33</v>
      </c>
      <c r="N1" s="10" t="s">
        <v>29</v>
      </c>
      <c r="O1" s="10" t="s">
        <v>35</v>
      </c>
      <c r="P1" s="13" t="s">
        <v>30</v>
      </c>
      <c r="Q1" s="13" t="s">
        <v>9</v>
      </c>
      <c r="R1" s="13" t="s">
        <v>10</v>
      </c>
      <c r="S1" s="13" t="s">
        <v>23</v>
      </c>
      <c r="T1" s="13" t="s">
        <v>24</v>
      </c>
      <c r="U1" s="13" t="s">
        <v>25</v>
      </c>
      <c r="V1" s="13" t="s">
        <v>11</v>
      </c>
      <c r="W1" s="13" t="s">
        <v>8</v>
      </c>
      <c r="X1" s="13" t="s">
        <v>12</v>
      </c>
      <c r="Y1" s="13" t="s">
        <v>13</v>
      </c>
      <c r="Z1" s="13" t="s">
        <v>14</v>
      </c>
      <c r="AA1" s="20" t="s">
        <v>15</v>
      </c>
      <c r="AB1" s="17" t="s">
        <v>16</v>
      </c>
      <c r="AC1" s="23" t="s">
        <v>17</v>
      </c>
      <c r="AD1" s="17" t="s">
        <v>18</v>
      </c>
      <c r="AE1" s="17" t="s">
        <v>19</v>
      </c>
      <c r="AF1" s="13" t="s">
        <v>20</v>
      </c>
      <c r="AG1" s="13" t="s">
        <v>21</v>
      </c>
      <c r="AH1" s="13" t="s">
        <v>22</v>
      </c>
    </row>
    <row r="2" spans="1:34" s="9" customFormat="1" ht="25.5" customHeight="1" x14ac:dyDescent="0.3">
      <c r="A2" s="4" t="str">
        <f t="shared" ref="A2:A33" si="0">D2&amp;E2&amp;F2&amp;G2</f>
        <v>10520616161</v>
      </c>
      <c r="B2" s="5" t="s">
        <v>31</v>
      </c>
      <c r="C2" s="5" t="s">
        <v>32</v>
      </c>
      <c r="D2" s="6">
        <v>105</v>
      </c>
      <c r="E2" s="6">
        <v>206</v>
      </c>
      <c r="F2" s="6">
        <v>1616</v>
      </c>
      <c r="G2" s="6">
        <v>1</v>
      </c>
      <c r="H2" s="6" t="s">
        <v>43</v>
      </c>
      <c r="I2" s="6" t="s">
        <v>70</v>
      </c>
      <c r="J2" s="5">
        <v>4326</v>
      </c>
      <c r="K2" s="6">
        <v>2.1757219999999999</v>
      </c>
      <c r="L2" s="6" t="s">
        <v>105</v>
      </c>
      <c r="M2" s="5"/>
      <c r="N2" s="5"/>
      <c r="O2" s="4">
        <f t="shared" ref="O2:O55" si="1">A2-U2</f>
        <v>0</v>
      </c>
      <c r="P2" s="6">
        <v>68741</v>
      </c>
      <c r="Q2" s="7">
        <v>45631</v>
      </c>
      <c r="R2" s="8">
        <v>45645</v>
      </c>
      <c r="S2" s="6" t="s">
        <v>109</v>
      </c>
      <c r="T2" s="6">
        <v>279176</v>
      </c>
      <c r="U2" s="6">
        <v>10520616161</v>
      </c>
      <c r="V2" s="6">
        <v>1.1399999999999999</v>
      </c>
      <c r="W2" s="6">
        <v>30</v>
      </c>
      <c r="X2" s="6">
        <v>0</v>
      </c>
      <c r="Y2" s="6" t="s">
        <v>110</v>
      </c>
      <c r="Z2" s="15" t="s">
        <v>111</v>
      </c>
      <c r="AA2" s="21">
        <v>1.1000000000000001</v>
      </c>
      <c r="AB2" s="18">
        <v>0.11</v>
      </c>
      <c r="AC2" s="24">
        <v>10</v>
      </c>
      <c r="AD2" s="18">
        <v>1.9</v>
      </c>
      <c r="AE2" s="18">
        <v>1.1000000000000001</v>
      </c>
      <c r="AF2" s="6"/>
      <c r="AG2" s="6"/>
      <c r="AH2" s="6">
        <v>38</v>
      </c>
    </row>
    <row r="3" spans="1:34" s="9" customFormat="1" ht="25.5" customHeight="1" x14ac:dyDescent="0.3">
      <c r="A3" s="4" t="str">
        <f t="shared" si="0"/>
        <v>10520616162</v>
      </c>
      <c r="B3" s="5" t="s">
        <v>31</v>
      </c>
      <c r="C3" s="5" t="s">
        <v>32</v>
      </c>
      <c r="D3" s="6">
        <v>105</v>
      </c>
      <c r="E3" s="6">
        <v>206</v>
      </c>
      <c r="F3" s="6">
        <v>1616</v>
      </c>
      <c r="G3" s="6">
        <v>2</v>
      </c>
      <c r="H3" s="6" t="s">
        <v>43</v>
      </c>
      <c r="I3" s="6" t="s">
        <v>101</v>
      </c>
      <c r="J3" s="5">
        <v>4326</v>
      </c>
      <c r="K3" s="6">
        <v>2.7394470000000002</v>
      </c>
      <c r="L3" s="6" t="s">
        <v>105</v>
      </c>
      <c r="M3" s="5"/>
      <c r="N3" s="5"/>
      <c r="O3" s="4">
        <f t="shared" si="1"/>
        <v>0</v>
      </c>
      <c r="P3" s="6">
        <v>68739</v>
      </c>
      <c r="Q3" s="7">
        <v>45630</v>
      </c>
      <c r="R3" s="8">
        <v>45645</v>
      </c>
      <c r="S3" s="6" t="s">
        <v>109</v>
      </c>
      <c r="T3" s="6">
        <v>279163</v>
      </c>
      <c r="U3" s="6">
        <v>10520616162</v>
      </c>
      <c r="V3" s="6">
        <v>1.18</v>
      </c>
      <c r="W3" s="6">
        <v>30</v>
      </c>
      <c r="X3" s="6">
        <v>0</v>
      </c>
      <c r="Y3" s="6" t="s">
        <v>110</v>
      </c>
      <c r="Z3" s="15" t="s">
        <v>111</v>
      </c>
      <c r="AA3" s="21">
        <v>1.1000000000000001</v>
      </c>
      <c r="AB3" s="18">
        <v>0.1</v>
      </c>
      <c r="AC3" s="24">
        <v>11</v>
      </c>
      <c r="AD3" s="18">
        <v>1.9</v>
      </c>
      <c r="AE3" s="18">
        <v>1.1000000000000001</v>
      </c>
      <c r="AF3" s="6"/>
      <c r="AG3" s="6"/>
      <c r="AH3" s="6">
        <v>39</v>
      </c>
    </row>
    <row r="4" spans="1:34" s="9" customFormat="1" ht="25.5" customHeight="1" x14ac:dyDescent="0.3">
      <c r="A4" s="4" t="str">
        <f t="shared" si="0"/>
        <v>10520616163</v>
      </c>
      <c r="B4" s="5" t="s">
        <v>31</v>
      </c>
      <c r="C4" s="5" t="s">
        <v>32</v>
      </c>
      <c r="D4" s="6">
        <v>105</v>
      </c>
      <c r="E4" s="6">
        <v>206</v>
      </c>
      <c r="F4" s="6">
        <v>1616</v>
      </c>
      <c r="G4" s="6">
        <v>3</v>
      </c>
      <c r="H4" s="6" t="s">
        <v>43</v>
      </c>
      <c r="I4" s="6" t="s">
        <v>72</v>
      </c>
      <c r="J4" s="5">
        <v>4326</v>
      </c>
      <c r="K4" s="6">
        <v>2.2842959999999999</v>
      </c>
      <c r="L4" s="6" t="s">
        <v>105</v>
      </c>
      <c r="M4" s="5"/>
      <c r="N4" s="5"/>
      <c r="O4" s="4">
        <f t="shared" si="1"/>
        <v>0</v>
      </c>
      <c r="P4" s="6">
        <v>68737</v>
      </c>
      <c r="Q4" s="7">
        <v>45630</v>
      </c>
      <c r="R4" s="8">
        <v>45645</v>
      </c>
      <c r="S4" s="6" t="s">
        <v>109</v>
      </c>
      <c r="T4" s="6">
        <v>279145</v>
      </c>
      <c r="U4" s="6">
        <v>10520616163</v>
      </c>
      <c r="V4" s="6">
        <v>1.1299999999999999</v>
      </c>
      <c r="W4" s="6">
        <v>30</v>
      </c>
      <c r="X4" s="6">
        <v>0</v>
      </c>
      <c r="Y4" s="6" t="s">
        <v>110</v>
      </c>
      <c r="Z4" s="15" t="s">
        <v>111</v>
      </c>
      <c r="AA4" s="21">
        <v>1.4</v>
      </c>
      <c r="AB4" s="18">
        <v>0.14000000000000001</v>
      </c>
      <c r="AC4" s="24">
        <v>10</v>
      </c>
      <c r="AD4" s="18">
        <v>2.2999999999999998</v>
      </c>
      <c r="AE4" s="18">
        <v>1.4</v>
      </c>
      <c r="AF4" s="6"/>
      <c r="AG4" s="6"/>
      <c r="AH4" s="6">
        <v>47</v>
      </c>
    </row>
    <row r="5" spans="1:34" s="9" customFormat="1" ht="25.5" customHeight="1" x14ac:dyDescent="0.3">
      <c r="A5" s="4" t="str">
        <f t="shared" si="0"/>
        <v>10520616164</v>
      </c>
      <c r="B5" s="5" t="s">
        <v>31</v>
      </c>
      <c r="C5" s="5" t="s">
        <v>32</v>
      </c>
      <c r="D5" s="6">
        <v>105</v>
      </c>
      <c r="E5" s="6">
        <v>206</v>
      </c>
      <c r="F5" s="6">
        <v>1616</v>
      </c>
      <c r="G5" s="6">
        <v>4</v>
      </c>
      <c r="H5" s="6" t="s">
        <v>43</v>
      </c>
      <c r="I5" s="6" t="s">
        <v>73</v>
      </c>
      <c r="J5" s="5">
        <v>4326</v>
      </c>
      <c r="K5" s="6">
        <v>2.3284859999999998</v>
      </c>
      <c r="L5" s="6" t="s">
        <v>105</v>
      </c>
      <c r="M5" s="5"/>
      <c r="N5" s="5"/>
      <c r="O5" s="4">
        <f t="shared" si="1"/>
        <v>0</v>
      </c>
      <c r="P5" s="6">
        <v>68739</v>
      </c>
      <c r="Q5" s="7">
        <v>45630</v>
      </c>
      <c r="R5" s="8">
        <v>45645</v>
      </c>
      <c r="S5" s="6" t="s">
        <v>109</v>
      </c>
      <c r="T5" s="6">
        <v>279164</v>
      </c>
      <c r="U5" s="6">
        <v>10520616164</v>
      </c>
      <c r="V5" s="6">
        <v>1.1599999999999999</v>
      </c>
      <c r="W5" s="6">
        <v>30</v>
      </c>
      <c r="X5" s="6">
        <v>0</v>
      </c>
      <c r="Y5" s="6" t="s">
        <v>110</v>
      </c>
      <c r="Z5" s="15" t="s">
        <v>111</v>
      </c>
      <c r="AA5" s="21">
        <v>1.1000000000000001</v>
      </c>
      <c r="AB5" s="18">
        <v>0.1</v>
      </c>
      <c r="AC5" s="24">
        <v>11</v>
      </c>
      <c r="AD5" s="18">
        <v>1.9</v>
      </c>
      <c r="AE5" s="18">
        <v>1.1000000000000001</v>
      </c>
      <c r="AF5" s="6"/>
      <c r="AG5" s="6"/>
      <c r="AH5" s="6">
        <v>38</v>
      </c>
    </row>
    <row r="6" spans="1:34" s="9" customFormat="1" ht="25.5" customHeight="1" x14ac:dyDescent="0.3">
      <c r="A6" s="4" t="str">
        <f t="shared" si="0"/>
        <v>10520616165</v>
      </c>
      <c r="B6" s="5" t="s">
        <v>31</v>
      </c>
      <c r="C6" s="5" t="s">
        <v>32</v>
      </c>
      <c r="D6" s="6">
        <v>105</v>
      </c>
      <c r="E6" s="6">
        <v>206</v>
      </c>
      <c r="F6" s="6">
        <v>1616</v>
      </c>
      <c r="G6" s="6">
        <v>5</v>
      </c>
      <c r="H6" s="6" t="s">
        <v>43</v>
      </c>
      <c r="I6" s="6" t="s">
        <v>103</v>
      </c>
      <c r="J6" s="5">
        <v>4326</v>
      </c>
      <c r="K6" s="6">
        <v>2.6308569999999998</v>
      </c>
      <c r="L6" s="6" t="s">
        <v>105</v>
      </c>
      <c r="M6" s="5"/>
      <c r="N6" s="5"/>
      <c r="O6" s="4">
        <f t="shared" si="1"/>
        <v>0</v>
      </c>
      <c r="P6" s="6">
        <v>68737</v>
      </c>
      <c r="Q6" s="7">
        <v>45630</v>
      </c>
      <c r="R6" s="8">
        <v>45645</v>
      </c>
      <c r="S6" s="6" t="s">
        <v>109</v>
      </c>
      <c r="T6" s="6">
        <v>279146</v>
      </c>
      <c r="U6" s="6">
        <v>10520616165</v>
      </c>
      <c r="V6" s="6">
        <v>1.1399999999999999</v>
      </c>
      <c r="W6" s="6">
        <v>30</v>
      </c>
      <c r="X6" s="6">
        <v>0</v>
      </c>
      <c r="Y6" s="6" t="s">
        <v>110</v>
      </c>
      <c r="Z6" s="15" t="s">
        <v>111</v>
      </c>
      <c r="AA6" s="21">
        <v>1.2</v>
      </c>
      <c r="AB6" s="18">
        <v>0.12</v>
      </c>
      <c r="AC6" s="24">
        <v>10</v>
      </c>
      <c r="AD6" s="18">
        <v>2.1</v>
      </c>
      <c r="AE6" s="18">
        <v>1.2</v>
      </c>
      <c r="AF6" s="6"/>
      <c r="AG6" s="6"/>
      <c r="AH6" s="6">
        <v>41</v>
      </c>
    </row>
    <row r="7" spans="1:34" s="9" customFormat="1" ht="25.5" customHeight="1" x14ac:dyDescent="0.3">
      <c r="A7" s="4" t="str">
        <f t="shared" si="0"/>
        <v>10520616166</v>
      </c>
      <c r="B7" s="5" t="s">
        <v>31</v>
      </c>
      <c r="C7" s="5" t="s">
        <v>32</v>
      </c>
      <c r="D7" s="6">
        <v>105</v>
      </c>
      <c r="E7" s="6">
        <v>206</v>
      </c>
      <c r="F7" s="6">
        <v>1616</v>
      </c>
      <c r="G7" s="6">
        <v>6</v>
      </c>
      <c r="H7" s="6" t="s">
        <v>43</v>
      </c>
      <c r="I7" s="6" t="s">
        <v>71</v>
      </c>
      <c r="J7" s="5">
        <v>4326</v>
      </c>
      <c r="K7" s="6">
        <v>2.3293509999999999</v>
      </c>
      <c r="L7" s="6" t="s">
        <v>105</v>
      </c>
      <c r="M7" s="5"/>
      <c r="N7" s="5"/>
      <c r="O7" s="4">
        <f t="shared" si="1"/>
        <v>0</v>
      </c>
      <c r="P7" s="6">
        <v>68739</v>
      </c>
      <c r="Q7" s="7">
        <v>45630</v>
      </c>
      <c r="R7" s="8">
        <v>45645</v>
      </c>
      <c r="S7" s="6" t="s">
        <v>109</v>
      </c>
      <c r="T7" s="6">
        <v>279165</v>
      </c>
      <c r="U7" s="6">
        <v>10520616166</v>
      </c>
      <c r="V7" s="6">
        <v>1.1399999999999999</v>
      </c>
      <c r="W7" s="6">
        <v>30</v>
      </c>
      <c r="X7" s="6">
        <v>0</v>
      </c>
      <c r="Y7" s="6" t="s">
        <v>110</v>
      </c>
      <c r="Z7" s="15" t="s">
        <v>111</v>
      </c>
      <c r="AA7" s="21">
        <v>1.4</v>
      </c>
      <c r="AB7" s="18">
        <v>0.14000000000000001</v>
      </c>
      <c r="AC7" s="24">
        <v>10</v>
      </c>
      <c r="AD7" s="18">
        <v>2.4</v>
      </c>
      <c r="AE7" s="18">
        <v>1.4</v>
      </c>
      <c r="AF7" s="6"/>
      <c r="AG7" s="6"/>
      <c r="AH7" s="6">
        <v>48</v>
      </c>
    </row>
    <row r="8" spans="1:34" s="9" customFormat="1" ht="25.5" customHeight="1" x14ac:dyDescent="0.3">
      <c r="A8" s="4" t="str">
        <f t="shared" si="0"/>
        <v>10520616167</v>
      </c>
      <c r="B8" s="5" t="s">
        <v>31</v>
      </c>
      <c r="C8" s="5" t="s">
        <v>32</v>
      </c>
      <c r="D8" s="6">
        <v>105</v>
      </c>
      <c r="E8" s="6">
        <v>206</v>
      </c>
      <c r="F8" s="6">
        <v>1616</v>
      </c>
      <c r="G8" s="6">
        <v>7</v>
      </c>
      <c r="H8" s="6" t="s">
        <v>43</v>
      </c>
      <c r="I8" s="6" t="s">
        <v>102</v>
      </c>
      <c r="J8" s="5">
        <v>4326</v>
      </c>
      <c r="K8" s="6">
        <v>2.585807</v>
      </c>
      <c r="L8" s="6" t="s">
        <v>105</v>
      </c>
      <c r="M8" s="5"/>
      <c r="N8" s="5"/>
      <c r="O8" s="4">
        <f t="shared" si="1"/>
        <v>0</v>
      </c>
      <c r="P8" s="6">
        <v>68739</v>
      </c>
      <c r="Q8" s="7">
        <v>45630</v>
      </c>
      <c r="R8" s="8">
        <v>45645</v>
      </c>
      <c r="S8" s="6" t="s">
        <v>109</v>
      </c>
      <c r="T8" s="6">
        <v>279166</v>
      </c>
      <c r="U8" s="6">
        <v>10520616167</v>
      </c>
      <c r="V8" s="6">
        <v>1.1100000000000001</v>
      </c>
      <c r="W8" s="6">
        <v>30</v>
      </c>
      <c r="X8" s="6">
        <v>0</v>
      </c>
      <c r="Y8" s="6" t="s">
        <v>110</v>
      </c>
      <c r="Z8" s="15" t="s">
        <v>111</v>
      </c>
      <c r="AA8" s="21">
        <v>1.4</v>
      </c>
      <c r="AB8" s="18">
        <v>0.13</v>
      </c>
      <c r="AC8" s="24">
        <v>10</v>
      </c>
      <c r="AD8" s="18">
        <v>2.2999999999999998</v>
      </c>
      <c r="AE8" s="18">
        <v>1.3</v>
      </c>
      <c r="AF8" s="6"/>
      <c r="AG8" s="6"/>
      <c r="AH8" s="6">
        <v>43</v>
      </c>
    </row>
    <row r="9" spans="1:34" s="9" customFormat="1" ht="25.5" customHeight="1" x14ac:dyDescent="0.3">
      <c r="A9" s="4" t="str">
        <f t="shared" si="0"/>
        <v>10520616168</v>
      </c>
      <c r="B9" s="5" t="s">
        <v>31</v>
      </c>
      <c r="C9" s="5" t="s">
        <v>32</v>
      </c>
      <c r="D9" s="6">
        <v>105</v>
      </c>
      <c r="E9" s="6">
        <v>206</v>
      </c>
      <c r="F9" s="6">
        <v>1616</v>
      </c>
      <c r="G9" s="6">
        <v>8</v>
      </c>
      <c r="H9" s="6" t="s">
        <v>43</v>
      </c>
      <c r="I9" s="6" t="s">
        <v>104</v>
      </c>
      <c r="J9" s="5">
        <v>4326</v>
      </c>
      <c r="K9" s="6">
        <v>2.5866989999999999</v>
      </c>
      <c r="L9" s="6" t="s">
        <v>105</v>
      </c>
      <c r="M9" s="5"/>
      <c r="N9" s="5"/>
      <c r="O9" s="4">
        <f t="shared" si="1"/>
        <v>0</v>
      </c>
      <c r="P9" s="6">
        <v>68738</v>
      </c>
      <c r="Q9" s="7">
        <v>45630</v>
      </c>
      <c r="R9" s="8">
        <v>45645</v>
      </c>
      <c r="S9" s="6" t="s">
        <v>109</v>
      </c>
      <c r="T9" s="6">
        <v>279150</v>
      </c>
      <c r="U9" s="6">
        <v>10520616168</v>
      </c>
      <c r="V9" s="6">
        <v>1.1399999999999999</v>
      </c>
      <c r="W9" s="6">
        <v>30</v>
      </c>
      <c r="X9" s="6">
        <v>0</v>
      </c>
      <c r="Y9" s="6" t="s">
        <v>110</v>
      </c>
      <c r="Z9" s="15" t="s">
        <v>111</v>
      </c>
      <c r="AA9" s="21">
        <v>1.3</v>
      </c>
      <c r="AB9" s="18">
        <v>0.13</v>
      </c>
      <c r="AC9" s="24">
        <v>10</v>
      </c>
      <c r="AD9" s="18">
        <v>2.2999999999999998</v>
      </c>
      <c r="AE9" s="18">
        <v>1.3</v>
      </c>
      <c r="AF9" s="6"/>
      <c r="AG9" s="6"/>
      <c r="AH9" s="6">
        <v>44</v>
      </c>
    </row>
    <row r="10" spans="1:34" s="9" customFormat="1" ht="25.5" customHeight="1" x14ac:dyDescent="0.3">
      <c r="A10" s="4" t="str">
        <f t="shared" si="0"/>
        <v>1052064211</v>
      </c>
      <c r="B10" s="5" t="s">
        <v>31</v>
      </c>
      <c r="C10" s="5" t="s">
        <v>32</v>
      </c>
      <c r="D10" s="6">
        <v>105</v>
      </c>
      <c r="E10" s="6">
        <v>206</v>
      </c>
      <c r="F10" s="6">
        <v>421</v>
      </c>
      <c r="G10" s="6">
        <v>1</v>
      </c>
      <c r="H10" s="6" t="s">
        <v>46</v>
      </c>
      <c r="I10" s="6" t="s">
        <v>78</v>
      </c>
      <c r="J10" s="5">
        <v>4326</v>
      </c>
      <c r="K10" s="6">
        <v>4.4842149999999998</v>
      </c>
      <c r="L10" s="6" t="s">
        <v>105</v>
      </c>
      <c r="M10" s="5"/>
      <c r="N10" s="5"/>
      <c r="O10" s="4">
        <f t="shared" si="1"/>
        <v>0</v>
      </c>
      <c r="P10" s="6">
        <v>68737</v>
      </c>
      <c r="Q10" s="7">
        <v>45630</v>
      </c>
      <c r="R10" s="8">
        <v>45645</v>
      </c>
      <c r="S10" s="6" t="s">
        <v>109</v>
      </c>
      <c r="T10" s="6">
        <v>279147</v>
      </c>
      <c r="U10" s="6">
        <v>1052064211</v>
      </c>
      <c r="V10" s="6">
        <v>1.21</v>
      </c>
      <c r="W10" s="6">
        <v>30</v>
      </c>
      <c r="X10" s="6">
        <v>0</v>
      </c>
      <c r="Y10" s="6" t="s">
        <v>110</v>
      </c>
      <c r="Z10" s="15" t="s">
        <v>111</v>
      </c>
      <c r="AA10" s="21">
        <v>1</v>
      </c>
      <c r="AB10" s="18">
        <v>0.1</v>
      </c>
      <c r="AC10" s="24">
        <v>10</v>
      </c>
      <c r="AD10" s="18">
        <v>1.8</v>
      </c>
      <c r="AE10" s="18">
        <v>1</v>
      </c>
      <c r="AF10" s="6"/>
      <c r="AG10" s="6"/>
      <c r="AH10" s="6">
        <v>36</v>
      </c>
    </row>
    <row r="11" spans="1:34" s="9" customFormat="1" ht="25.5" customHeight="1" x14ac:dyDescent="0.3">
      <c r="A11" s="4" t="str">
        <f t="shared" si="0"/>
        <v>1052064212</v>
      </c>
      <c r="B11" s="5" t="s">
        <v>31</v>
      </c>
      <c r="C11" s="5" t="s">
        <v>32</v>
      </c>
      <c r="D11" s="6">
        <v>105</v>
      </c>
      <c r="E11" s="6">
        <v>206</v>
      </c>
      <c r="F11" s="6">
        <v>421</v>
      </c>
      <c r="G11" s="6">
        <v>2</v>
      </c>
      <c r="H11" s="6" t="s">
        <v>46</v>
      </c>
      <c r="I11" s="6" t="s">
        <v>79</v>
      </c>
      <c r="J11" s="5">
        <v>4326</v>
      </c>
      <c r="K11" s="6">
        <v>4.4842170000000001</v>
      </c>
      <c r="L11" s="6" t="s">
        <v>105</v>
      </c>
      <c r="M11" s="5"/>
      <c r="N11" s="5"/>
      <c r="O11" s="4">
        <f t="shared" si="1"/>
        <v>0</v>
      </c>
      <c r="P11" s="6">
        <v>68737</v>
      </c>
      <c r="Q11" s="7">
        <v>45630</v>
      </c>
      <c r="R11" s="8">
        <v>45645</v>
      </c>
      <c r="S11" s="6" t="s">
        <v>109</v>
      </c>
      <c r="T11" s="6">
        <v>279148</v>
      </c>
      <c r="U11" s="6">
        <v>1052064212</v>
      </c>
      <c r="V11" s="6">
        <v>1.2</v>
      </c>
      <c r="W11" s="6">
        <v>30</v>
      </c>
      <c r="X11" s="6">
        <v>0</v>
      </c>
      <c r="Y11" s="6" t="s">
        <v>110</v>
      </c>
      <c r="Z11" s="15" t="s">
        <v>111</v>
      </c>
      <c r="AA11" s="21">
        <v>1.2</v>
      </c>
      <c r="AB11" s="18">
        <v>0.12</v>
      </c>
      <c r="AC11" s="24">
        <v>10</v>
      </c>
      <c r="AD11" s="18">
        <v>2</v>
      </c>
      <c r="AE11" s="18">
        <v>1.2</v>
      </c>
      <c r="AF11" s="6"/>
      <c r="AG11" s="6"/>
      <c r="AH11" s="6">
        <v>43</v>
      </c>
    </row>
    <row r="12" spans="1:34" s="9" customFormat="1" ht="25.5" customHeight="1" x14ac:dyDescent="0.3">
      <c r="A12" s="4" t="str">
        <f t="shared" si="0"/>
        <v>1052064213</v>
      </c>
      <c r="B12" s="5" t="s">
        <v>31</v>
      </c>
      <c r="C12" s="5" t="s">
        <v>32</v>
      </c>
      <c r="D12" s="6">
        <v>105</v>
      </c>
      <c r="E12" s="6">
        <v>206</v>
      </c>
      <c r="F12" s="6">
        <v>421</v>
      </c>
      <c r="G12" s="6">
        <v>3</v>
      </c>
      <c r="H12" s="6" t="s">
        <v>46</v>
      </c>
      <c r="I12" s="6" t="s">
        <v>80</v>
      </c>
      <c r="J12" s="5">
        <v>4326</v>
      </c>
      <c r="K12" s="6">
        <v>4.48421</v>
      </c>
      <c r="L12" s="6" t="s">
        <v>105</v>
      </c>
      <c r="M12" s="5"/>
      <c r="N12" s="5"/>
      <c r="O12" s="4">
        <f t="shared" si="1"/>
        <v>0</v>
      </c>
      <c r="P12" s="6">
        <v>68736</v>
      </c>
      <c r="Q12" s="7">
        <v>45630</v>
      </c>
      <c r="R12" s="8">
        <v>45645</v>
      </c>
      <c r="S12" s="6" t="s">
        <v>109</v>
      </c>
      <c r="T12" s="6">
        <v>279138</v>
      </c>
      <c r="U12" s="6">
        <v>1052064213</v>
      </c>
      <c r="V12" s="6">
        <v>1.24</v>
      </c>
      <c r="W12" s="6">
        <v>30</v>
      </c>
      <c r="X12" s="6">
        <v>0</v>
      </c>
      <c r="Y12" s="6" t="s">
        <v>110</v>
      </c>
      <c r="Z12" s="15" t="s">
        <v>111</v>
      </c>
      <c r="AA12" s="21">
        <v>1</v>
      </c>
      <c r="AB12" s="18">
        <v>0.1</v>
      </c>
      <c r="AC12" s="24">
        <v>10</v>
      </c>
      <c r="AD12" s="18">
        <v>1.8</v>
      </c>
      <c r="AE12" s="18">
        <v>1</v>
      </c>
      <c r="AF12" s="6"/>
      <c r="AG12" s="6"/>
      <c r="AH12" s="6">
        <v>37</v>
      </c>
    </row>
    <row r="13" spans="1:34" s="9" customFormat="1" ht="25.5" customHeight="1" x14ac:dyDescent="0.3">
      <c r="A13" s="4" t="str">
        <f t="shared" si="0"/>
        <v>1052064214</v>
      </c>
      <c r="B13" s="5" t="s">
        <v>31</v>
      </c>
      <c r="C13" s="5" t="s">
        <v>32</v>
      </c>
      <c r="D13" s="6">
        <v>105</v>
      </c>
      <c r="E13" s="6">
        <v>206</v>
      </c>
      <c r="F13" s="6">
        <v>421</v>
      </c>
      <c r="G13" s="6">
        <v>4</v>
      </c>
      <c r="H13" s="6" t="s">
        <v>46</v>
      </c>
      <c r="I13" s="6" t="s">
        <v>81</v>
      </c>
      <c r="J13" s="5">
        <v>4326</v>
      </c>
      <c r="K13" s="6">
        <v>4.4842129999999996</v>
      </c>
      <c r="L13" s="6" t="s">
        <v>105</v>
      </c>
      <c r="M13" s="5"/>
      <c r="N13" s="5"/>
      <c r="O13" s="4">
        <f t="shared" si="1"/>
        <v>0</v>
      </c>
      <c r="P13" s="6">
        <v>68736</v>
      </c>
      <c r="Q13" s="7">
        <v>45630</v>
      </c>
      <c r="R13" s="8">
        <v>45645</v>
      </c>
      <c r="S13" s="6" t="s">
        <v>109</v>
      </c>
      <c r="T13" s="6">
        <v>279139</v>
      </c>
      <c r="U13" s="6">
        <v>1052064214</v>
      </c>
      <c r="V13" s="6">
        <v>1.21</v>
      </c>
      <c r="W13" s="6">
        <v>30</v>
      </c>
      <c r="X13" s="6">
        <v>0</v>
      </c>
      <c r="Y13" s="6" t="s">
        <v>110</v>
      </c>
      <c r="Z13" s="15" t="s">
        <v>111</v>
      </c>
      <c r="AA13" s="21">
        <v>1.2</v>
      </c>
      <c r="AB13" s="18">
        <v>0.12</v>
      </c>
      <c r="AC13" s="24">
        <v>10</v>
      </c>
      <c r="AD13" s="18">
        <v>2.1</v>
      </c>
      <c r="AE13" s="18">
        <v>1.2</v>
      </c>
      <c r="AF13" s="6"/>
      <c r="AG13" s="6"/>
      <c r="AH13" s="6">
        <v>44</v>
      </c>
    </row>
    <row r="14" spans="1:34" s="9" customFormat="1" ht="25.5" customHeight="1" x14ac:dyDescent="0.3">
      <c r="A14" s="4" t="str">
        <f t="shared" si="0"/>
        <v>1052064215</v>
      </c>
      <c r="B14" s="5" t="s">
        <v>31</v>
      </c>
      <c r="C14" s="5" t="s">
        <v>32</v>
      </c>
      <c r="D14" s="6">
        <v>105</v>
      </c>
      <c r="E14" s="6">
        <v>206</v>
      </c>
      <c r="F14" s="6">
        <v>421</v>
      </c>
      <c r="G14" s="6">
        <v>5</v>
      </c>
      <c r="H14" s="6" t="s">
        <v>46</v>
      </c>
      <c r="I14" s="6" t="s">
        <v>82</v>
      </c>
      <c r="J14" s="5">
        <v>4326</v>
      </c>
      <c r="K14" s="6">
        <v>4.4842149999999998</v>
      </c>
      <c r="L14" s="6" t="s">
        <v>105</v>
      </c>
      <c r="M14" s="5"/>
      <c r="N14" s="5"/>
      <c r="O14" s="4">
        <f t="shared" si="1"/>
        <v>0</v>
      </c>
      <c r="P14" s="6">
        <v>68739</v>
      </c>
      <c r="Q14" s="7">
        <v>45630</v>
      </c>
      <c r="R14" s="8">
        <v>45645</v>
      </c>
      <c r="S14" s="6" t="s">
        <v>109</v>
      </c>
      <c r="T14" s="6">
        <v>279167</v>
      </c>
      <c r="U14" s="6">
        <v>1052064215</v>
      </c>
      <c r="V14" s="6">
        <v>1.23</v>
      </c>
      <c r="W14" s="6">
        <v>30</v>
      </c>
      <c r="X14" s="6">
        <v>0</v>
      </c>
      <c r="Y14" s="6" t="s">
        <v>110</v>
      </c>
      <c r="Z14" s="15" t="s">
        <v>111</v>
      </c>
      <c r="AA14" s="21">
        <v>1.3</v>
      </c>
      <c r="AB14" s="18">
        <v>0.09</v>
      </c>
      <c r="AC14" s="24">
        <v>14</v>
      </c>
      <c r="AD14" s="18">
        <v>2.2000000000000002</v>
      </c>
      <c r="AE14" s="18">
        <v>1.3</v>
      </c>
      <c r="AF14" s="6"/>
      <c r="AG14" s="6"/>
      <c r="AH14" s="6">
        <v>48</v>
      </c>
    </row>
    <row r="15" spans="1:34" s="9" customFormat="1" ht="25.5" customHeight="1" x14ac:dyDescent="0.3">
      <c r="A15" s="4" t="str">
        <f t="shared" si="0"/>
        <v>1052064216</v>
      </c>
      <c r="B15" s="5" t="s">
        <v>31</v>
      </c>
      <c r="C15" s="5" t="s">
        <v>32</v>
      </c>
      <c r="D15" s="6">
        <v>105</v>
      </c>
      <c r="E15" s="6">
        <v>206</v>
      </c>
      <c r="F15" s="6">
        <v>421</v>
      </c>
      <c r="G15" s="6">
        <v>6</v>
      </c>
      <c r="H15" s="6" t="s">
        <v>46</v>
      </c>
      <c r="I15" s="6" t="s">
        <v>83</v>
      </c>
      <c r="J15" s="5">
        <v>4326</v>
      </c>
      <c r="K15" s="6">
        <v>4.4842060000000004</v>
      </c>
      <c r="L15" s="6" t="s">
        <v>105</v>
      </c>
      <c r="M15" s="5"/>
      <c r="N15" s="5"/>
      <c r="O15" s="4">
        <f t="shared" si="1"/>
        <v>0</v>
      </c>
      <c r="P15" s="6">
        <v>68738</v>
      </c>
      <c r="Q15" s="7">
        <v>45630</v>
      </c>
      <c r="R15" s="8">
        <v>45645</v>
      </c>
      <c r="S15" s="6" t="s">
        <v>109</v>
      </c>
      <c r="T15" s="6">
        <v>279151</v>
      </c>
      <c r="U15" s="6">
        <v>1052064216</v>
      </c>
      <c r="V15" s="6">
        <v>1.2</v>
      </c>
      <c r="W15" s="6">
        <v>30</v>
      </c>
      <c r="X15" s="6">
        <v>0</v>
      </c>
      <c r="Y15" s="6" t="s">
        <v>110</v>
      </c>
      <c r="Z15" s="15" t="s">
        <v>111</v>
      </c>
      <c r="AA15" s="21">
        <v>1.3</v>
      </c>
      <c r="AB15" s="18">
        <v>0.12</v>
      </c>
      <c r="AC15" s="24">
        <v>11</v>
      </c>
      <c r="AD15" s="18">
        <v>2.2999999999999998</v>
      </c>
      <c r="AE15" s="18">
        <v>1.3</v>
      </c>
      <c r="AF15" s="6"/>
      <c r="AG15" s="6"/>
      <c r="AH15" s="6">
        <v>47</v>
      </c>
    </row>
    <row r="16" spans="1:34" s="9" customFormat="1" ht="25.5" customHeight="1" x14ac:dyDescent="0.3">
      <c r="A16" s="4" t="str">
        <f t="shared" si="0"/>
        <v>10520643071</v>
      </c>
      <c r="B16" s="5" t="s">
        <v>31</v>
      </c>
      <c r="C16" s="5" t="s">
        <v>32</v>
      </c>
      <c r="D16" s="6">
        <v>105</v>
      </c>
      <c r="E16" s="6">
        <v>206</v>
      </c>
      <c r="F16" s="6">
        <v>4307</v>
      </c>
      <c r="G16" s="6">
        <v>1</v>
      </c>
      <c r="H16" s="6" t="s">
        <v>44</v>
      </c>
      <c r="I16" s="6" t="s">
        <v>74</v>
      </c>
      <c r="J16" s="5">
        <v>4326</v>
      </c>
      <c r="K16" s="6">
        <v>1.7618609999999999</v>
      </c>
      <c r="L16" s="6" t="s">
        <v>108</v>
      </c>
      <c r="M16" s="5"/>
      <c r="N16" s="5"/>
      <c r="O16" s="4">
        <f t="shared" si="1"/>
        <v>0</v>
      </c>
      <c r="P16" s="6">
        <v>68741</v>
      </c>
      <c r="Q16" s="7">
        <v>45631</v>
      </c>
      <c r="R16" s="8">
        <v>45645</v>
      </c>
      <c r="S16" s="6" t="s">
        <v>109</v>
      </c>
      <c r="T16" s="6">
        <v>279179</v>
      </c>
      <c r="U16" s="6">
        <v>10520643071</v>
      </c>
      <c r="V16" s="6">
        <v>1.1399999999999999</v>
      </c>
      <c r="W16" s="6">
        <v>30</v>
      </c>
      <c r="X16" s="6">
        <v>0</v>
      </c>
      <c r="Y16" s="6" t="s">
        <v>110</v>
      </c>
      <c r="Z16" s="15" t="s">
        <v>111</v>
      </c>
      <c r="AA16" s="21">
        <v>1.3</v>
      </c>
      <c r="AB16" s="18">
        <v>0.12</v>
      </c>
      <c r="AC16" s="24">
        <v>11</v>
      </c>
      <c r="AD16" s="18">
        <v>2.2000000000000002</v>
      </c>
      <c r="AE16" s="18">
        <v>1.3</v>
      </c>
      <c r="AF16" s="6"/>
      <c r="AG16" s="6"/>
      <c r="AH16" s="6">
        <v>44</v>
      </c>
    </row>
    <row r="17" spans="1:34" s="9" customFormat="1" ht="25.5" customHeight="1" x14ac:dyDescent="0.3">
      <c r="A17" s="4" t="str">
        <f t="shared" si="0"/>
        <v>10520643281</v>
      </c>
      <c r="B17" s="5" t="s">
        <v>31</v>
      </c>
      <c r="C17" s="5" t="s">
        <v>32</v>
      </c>
      <c r="D17" s="6">
        <v>105</v>
      </c>
      <c r="E17" s="6">
        <v>206</v>
      </c>
      <c r="F17" s="6">
        <v>4328</v>
      </c>
      <c r="G17" s="6">
        <v>1</v>
      </c>
      <c r="H17" s="6" t="s">
        <v>42</v>
      </c>
      <c r="I17" s="6" t="s">
        <v>93</v>
      </c>
      <c r="J17" s="5">
        <v>4326</v>
      </c>
      <c r="K17" s="6">
        <v>3.153664</v>
      </c>
      <c r="L17" s="6" t="s">
        <v>108</v>
      </c>
      <c r="M17" s="5"/>
      <c r="N17" s="5"/>
      <c r="O17" s="4">
        <f t="shared" si="1"/>
        <v>0</v>
      </c>
      <c r="P17" s="6">
        <v>68738</v>
      </c>
      <c r="Q17" s="7">
        <v>45630</v>
      </c>
      <c r="R17" s="8">
        <v>45645</v>
      </c>
      <c r="S17" s="6" t="s">
        <v>109</v>
      </c>
      <c r="T17" s="6">
        <v>279152</v>
      </c>
      <c r="U17" s="6">
        <v>10520643281</v>
      </c>
      <c r="V17" s="6">
        <v>1.24</v>
      </c>
      <c r="W17" s="6">
        <v>30</v>
      </c>
      <c r="X17" s="6">
        <v>0</v>
      </c>
      <c r="Y17" s="6" t="s">
        <v>110</v>
      </c>
      <c r="Z17" s="15" t="s">
        <v>111</v>
      </c>
      <c r="AA17" s="21">
        <v>1.4</v>
      </c>
      <c r="AB17" s="18">
        <v>0.13</v>
      </c>
      <c r="AC17" s="24">
        <v>11</v>
      </c>
      <c r="AD17" s="18">
        <v>2.4</v>
      </c>
      <c r="AE17" s="18">
        <v>1.4</v>
      </c>
      <c r="AF17" s="6"/>
      <c r="AG17" s="6"/>
      <c r="AH17" s="6">
        <v>52</v>
      </c>
    </row>
    <row r="18" spans="1:34" s="9" customFormat="1" ht="25.5" customHeight="1" x14ac:dyDescent="0.3">
      <c r="A18" s="4" t="str">
        <f t="shared" si="0"/>
        <v>10520643282</v>
      </c>
      <c r="B18" s="5" t="s">
        <v>31</v>
      </c>
      <c r="C18" s="5" t="s">
        <v>32</v>
      </c>
      <c r="D18" s="6">
        <v>105</v>
      </c>
      <c r="E18" s="6">
        <v>206</v>
      </c>
      <c r="F18" s="6">
        <v>4328</v>
      </c>
      <c r="G18" s="6">
        <v>2</v>
      </c>
      <c r="H18" s="6" t="s">
        <v>42</v>
      </c>
      <c r="I18" s="6" t="s">
        <v>69</v>
      </c>
      <c r="J18" s="5">
        <v>4326</v>
      </c>
      <c r="K18" s="6">
        <v>2.7113239999999998</v>
      </c>
      <c r="L18" s="6" t="s">
        <v>108</v>
      </c>
      <c r="M18" s="5"/>
      <c r="N18" s="5"/>
      <c r="O18" s="4">
        <f t="shared" si="1"/>
        <v>0</v>
      </c>
      <c r="P18" s="6">
        <v>68738</v>
      </c>
      <c r="Q18" s="7">
        <v>45630</v>
      </c>
      <c r="R18" s="8">
        <v>45645</v>
      </c>
      <c r="S18" s="6" t="s">
        <v>109</v>
      </c>
      <c r="T18" s="6">
        <v>279153</v>
      </c>
      <c r="U18" s="6">
        <v>10520643282</v>
      </c>
      <c r="V18" s="6">
        <v>1.22</v>
      </c>
      <c r="W18" s="6">
        <v>30</v>
      </c>
      <c r="X18" s="6">
        <v>0</v>
      </c>
      <c r="Y18" s="6" t="s">
        <v>110</v>
      </c>
      <c r="Z18" s="15" t="s">
        <v>111</v>
      </c>
      <c r="AA18" s="21">
        <v>1.6</v>
      </c>
      <c r="AB18" s="18">
        <v>0.15</v>
      </c>
      <c r="AC18" s="24">
        <v>11</v>
      </c>
      <c r="AD18" s="18">
        <v>2.7</v>
      </c>
      <c r="AE18" s="18">
        <v>1.6</v>
      </c>
      <c r="AF18" s="6"/>
      <c r="AG18" s="6"/>
      <c r="AH18" s="6">
        <v>59</v>
      </c>
    </row>
    <row r="19" spans="1:34" s="9" customFormat="1" ht="25.5" customHeight="1" x14ac:dyDescent="0.3">
      <c r="A19" s="4" t="str">
        <f t="shared" si="0"/>
        <v>10520643291</v>
      </c>
      <c r="B19" s="5" t="s">
        <v>31</v>
      </c>
      <c r="C19" s="5" t="s">
        <v>32</v>
      </c>
      <c r="D19" s="6">
        <v>105</v>
      </c>
      <c r="E19" s="6">
        <v>206</v>
      </c>
      <c r="F19" s="6">
        <v>4329</v>
      </c>
      <c r="G19" s="6">
        <v>1</v>
      </c>
      <c r="H19" s="6" t="s">
        <v>49</v>
      </c>
      <c r="I19" s="6" t="s">
        <v>91</v>
      </c>
      <c r="J19" s="5">
        <v>4326</v>
      </c>
      <c r="K19" s="6">
        <v>1.470985</v>
      </c>
      <c r="L19" s="6" t="s">
        <v>107</v>
      </c>
      <c r="M19" s="5"/>
      <c r="N19" s="5"/>
      <c r="O19" s="4">
        <f t="shared" si="1"/>
        <v>0</v>
      </c>
      <c r="P19" s="6">
        <v>68738</v>
      </c>
      <c r="Q19" s="7">
        <v>45630</v>
      </c>
      <c r="R19" s="8">
        <v>45645</v>
      </c>
      <c r="S19" s="6" t="s">
        <v>109</v>
      </c>
      <c r="T19" s="6">
        <v>279154</v>
      </c>
      <c r="U19" s="6">
        <v>10520643291</v>
      </c>
      <c r="V19" s="6">
        <v>1.22</v>
      </c>
      <c r="W19" s="6">
        <v>30</v>
      </c>
      <c r="X19" s="6">
        <v>0</v>
      </c>
      <c r="Y19" s="6" t="s">
        <v>110</v>
      </c>
      <c r="Z19" s="15" t="s">
        <v>111</v>
      </c>
      <c r="AA19" s="21">
        <v>1.7</v>
      </c>
      <c r="AB19" s="18">
        <v>0.19</v>
      </c>
      <c r="AC19" s="24">
        <v>9</v>
      </c>
      <c r="AD19" s="18">
        <v>2.9</v>
      </c>
      <c r="AE19" s="18">
        <v>1.7</v>
      </c>
      <c r="AF19" s="6"/>
      <c r="AG19" s="6"/>
      <c r="AH19" s="6">
        <v>62</v>
      </c>
    </row>
    <row r="20" spans="1:34" s="9" customFormat="1" ht="25.5" customHeight="1" x14ac:dyDescent="0.3">
      <c r="A20" s="4" t="str">
        <f t="shared" si="0"/>
        <v>10520652631</v>
      </c>
      <c r="B20" s="5" t="s">
        <v>31</v>
      </c>
      <c r="C20" s="5" t="s">
        <v>32</v>
      </c>
      <c r="D20" s="6">
        <v>105</v>
      </c>
      <c r="E20" s="6">
        <v>206</v>
      </c>
      <c r="F20" s="6">
        <v>5263</v>
      </c>
      <c r="G20" s="6">
        <v>1</v>
      </c>
      <c r="H20" s="6" t="s">
        <v>36</v>
      </c>
      <c r="I20" s="6" t="s">
        <v>51</v>
      </c>
      <c r="J20" s="5">
        <v>4326</v>
      </c>
      <c r="K20" s="6">
        <v>3.2564109999999999</v>
      </c>
      <c r="L20" s="6" t="s">
        <v>105</v>
      </c>
      <c r="M20" s="5"/>
      <c r="N20" s="5"/>
      <c r="O20" s="4">
        <f t="shared" si="1"/>
        <v>0</v>
      </c>
      <c r="P20" s="6">
        <v>68740</v>
      </c>
      <c r="Q20" s="7">
        <v>45630</v>
      </c>
      <c r="R20" s="8">
        <v>45645</v>
      </c>
      <c r="S20" s="6" t="s">
        <v>109</v>
      </c>
      <c r="T20" s="6">
        <v>279173</v>
      </c>
      <c r="U20" s="6">
        <v>10520652631</v>
      </c>
      <c r="V20" s="6">
        <v>1.1100000000000001</v>
      </c>
      <c r="W20" s="6">
        <v>30</v>
      </c>
      <c r="X20" s="6">
        <v>0</v>
      </c>
      <c r="Y20" s="6" t="s">
        <v>110</v>
      </c>
      <c r="Z20" s="15" t="s">
        <v>111</v>
      </c>
      <c r="AA20" s="21">
        <v>1.7</v>
      </c>
      <c r="AB20" s="18">
        <v>0.15</v>
      </c>
      <c r="AC20" s="24">
        <v>11</v>
      </c>
      <c r="AD20" s="18">
        <v>2.8</v>
      </c>
      <c r="AE20" s="18">
        <v>1.6</v>
      </c>
      <c r="AF20" s="6"/>
      <c r="AG20" s="6"/>
      <c r="AH20" s="6">
        <v>53</v>
      </c>
    </row>
    <row r="21" spans="1:34" s="9" customFormat="1" ht="25.5" customHeight="1" x14ac:dyDescent="0.3">
      <c r="A21" s="4" t="str">
        <f t="shared" si="0"/>
        <v>10520652632</v>
      </c>
      <c r="B21" s="5" t="s">
        <v>31</v>
      </c>
      <c r="C21" s="5" t="s">
        <v>32</v>
      </c>
      <c r="D21" s="6">
        <v>105</v>
      </c>
      <c r="E21" s="6">
        <v>206</v>
      </c>
      <c r="F21" s="6">
        <v>5263</v>
      </c>
      <c r="G21" s="6">
        <v>2</v>
      </c>
      <c r="H21" s="6" t="s">
        <v>36</v>
      </c>
      <c r="I21" s="6" t="s">
        <v>95</v>
      </c>
      <c r="J21" s="5">
        <v>4326</v>
      </c>
      <c r="K21" s="6">
        <v>2.4779659999999999</v>
      </c>
      <c r="L21" s="6" t="s">
        <v>105</v>
      </c>
      <c r="M21" s="5"/>
      <c r="N21" s="5"/>
      <c r="O21" s="4">
        <f t="shared" si="1"/>
        <v>0</v>
      </c>
      <c r="P21" s="6">
        <v>68742</v>
      </c>
      <c r="Q21" s="7">
        <v>45631</v>
      </c>
      <c r="R21" s="8">
        <v>45645</v>
      </c>
      <c r="S21" s="6" t="s">
        <v>109</v>
      </c>
      <c r="T21" s="6">
        <v>279185</v>
      </c>
      <c r="U21" s="6">
        <v>10520652632</v>
      </c>
      <c r="V21" s="6">
        <v>1.0900000000000001</v>
      </c>
      <c r="W21" s="6">
        <v>30</v>
      </c>
      <c r="X21" s="6">
        <v>0</v>
      </c>
      <c r="Y21" s="6" t="s">
        <v>110</v>
      </c>
      <c r="Z21" s="15" t="s">
        <v>111</v>
      </c>
      <c r="AA21" s="21">
        <v>1.6</v>
      </c>
      <c r="AB21" s="18">
        <v>0.14000000000000001</v>
      </c>
      <c r="AC21" s="24">
        <v>11</v>
      </c>
      <c r="AD21" s="18">
        <v>2.7</v>
      </c>
      <c r="AE21" s="18">
        <v>1.6</v>
      </c>
      <c r="AF21" s="6"/>
      <c r="AG21" s="6"/>
      <c r="AH21" s="6">
        <v>52</v>
      </c>
    </row>
    <row r="22" spans="1:34" s="9" customFormat="1" ht="25.5" customHeight="1" x14ac:dyDescent="0.3">
      <c r="A22" s="4" t="str">
        <f t="shared" si="0"/>
        <v>10520652633</v>
      </c>
      <c r="B22" s="5" t="s">
        <v>31</v>
      </c>
      <c r="C22" s="5" t="s">
        <v>32</v>
      </c>
      <c r="D22" s="6">
        <v>105</v>
      </c>
      <c r="E22" s="6">
        <v>206</v>
      </c>
      <c r="F22" s="6">
        <v>5263</v>
      </c>
      <c r="G22" s="6">
        <v>3</v>
      </c>
      <c r="H22" s="6" t="s">
        <v>36</v>
      </c>
      <c r="I22" s="6" t="s">
        <v>52</v>
      </c>
      <c r="J22" s="5">
        <v>4326</v>
      </c>
      <c r="K22" s="6">
        <v>3.244418</v>
      </c>
      <c r="L22" s="6" t="s">
        <v>105</v>
      </c>
      <c r="M22" s="5"/>
      <c r="N22" s="5"/>
      <c r="O22" s="4">
        <f t="shared" si="1"/>
        <v>0</v>
      </c>
      <c r="P22" s="6">
        <v>68742</v>
      </c>
      <c r="Q22" s="7">
        <v>45631</v>
      </c>
      <c r="R22" s="8">
        <v>45645</v>
      </c>
      <c r="S22" s="6" t="s">
        <v>109</v>
      </c>
      <c r="T22" s="6">
        <v>279186</v>
      </c>
      <c r="U22" s="6">
        <v>10520652633</v>
      </c>
      <c r="V22" s="6">
        <v>1.1000000000000001</v>
      </c>
      <c r="W22" s="6">
        <v>30</v>
      </c>
      <c r="X22" s="6">
        <v>0</v>
      </c>
      <c r="Y22" s="6" t="s">
        <v>110</v>
      </c>
      <c r="Z22" s="15" t="s">
        <v>111</v>
      </c>
      <c r="AA22" s="21">
        <v>1.6</v>
      </c>
      <c r="AB22" s="18">
        <v>0.14000000000000001</v>
      </c>
      <c r="AC22" s="24">
        <v>11</v>
      </c>
      <c r="AD22" s="18">
        <v>2.5</v>
      </c>
      <c r="AE22" s="18">
        <v>1.5</v>
      </c>
      <c r="AF22" s="6"/>
      <c r="AG22" s="6"/>
      <c r="AH22" s="6">
        <v>50</v>
      </c>
    </row>
    <row r="23" spans="1:34" s="9" customFormat="1" ht="25.5" customHeight="1" x14ac:dyDescent="0.3">
      <c r="A23" s="4" t="str">
        <f t="shared" si="0"/>
        <v>10520652634</v>
      </c>
      <c r="B23" s="5" t="s">
        <v>31</v>
      </c>
      <c r="C23" s="5" t="s">
        <v>32</v>
      </c>
      <c r="D23" s="6">
        <v>105</v>
      </c>
      <c r="E23" s="6">
        <v>206</v>
      </c>
      <c r="F23" s="6">
        <v>5263</v>
      </c>
      <c r="G23" s="6">
        <v>4</v>
      </c>
      <c r="H23" s="6" t="s">
        <v>36</v>
      </c>
      <c r="I23" s="6" t="s">
        <v>96</v>
      </c>
      <c r="J23" s="5">
        <v>4326</v>
      </c>
      <c r="K23" s="6">
        <v>2.4898950000000002</v>
      </c>
      <c r="L23" s="6" t="s">
        <v>105</v>
      </c>
      <c r="M23" s="5"/>
      <c r="N23" s="5"/>
      <c r="O23" s="4">
        <f t="shared" si="1"/>
        <v>0</v>
      </c>
      <c r="P23" s="6">
        <v>68742</v>
      </c>
      <c r="Q23" s="7">
        <v>45631</v>
      </c>
      <c r="R23" s="8">
        <v>45645</v>
      </c>
      <c r="S23" s="6" t="s">
        <v>109</v>
      </c>
      <c r="T23" s="6">
        <v>279187</v>
      </c>
      <c r="U23" s="6">
        <v>10520652634</v>
      </c>
      <c r="V23" s="6">
        <v>1.08</v>
      </c>
      <c r="W23" s="6">
        <v>30</v>
      </c>
      <c r="X23" s="6">
        <v>0</v>
      </c>
      <c r="Y23" s="6" t="s">
        <v>110</v>
      </c>
      <c r="Z23" s="15" t="s">
        <v>111</v>
      </c>
      <c r="AA23" s="21">
        <v>1.6</v>
      </c>
      <c r="AB23" s="18">
        <v>0.15</v>
      </c>
      <c r="AC23" s="24">
        <v>10</v>
      </c>
      <c r="AD23" s="18">
        <v>2.7</v>
      </c>
      <c r="AE23" s="18">
        <v>1.5</v>
      </c>
      <c r="AF23" s="6"/>
      <c r="AG23" s="6"/>
      <c r="AH23" s="6">
        <v>49</v>
      </c>
    </row>
    <row r="24" spans="1:34" s="9" customFormat="1" ht="25.5" customHeight="1" x14ac:dyDescent="0.3">
      <c r="A24" s="4" t="str">
        <f t="shared" si="0"/>
        <v>10520652641</v>
      </c>
      <c r="B24" s="5" t="s">
        <v>31</v>
      </c>
      <c r="C24" s="5" t="s">
        <v>32</v>
      </c>
      <c r="D24" s="6">
        <v>105</v>
      </c>
      <c r="E24" s="6">
        <v>206</v>
      </c>
      <c r="F24" s="6">
        <v>5264</v>
      </c>
      <c r="G24" s="6">
        <v>1</v>
      </c>
      <c r="H24" s="6" t="s">
        <v>50</v>
      </c>
      <c r="I24" s="6" t="s">
        <v>92</v>
      </c>
      <c r="J24" s="5">
        <v>4326</v>
      </c>
      <c r="K24" s="6">
        <v>4.5142930000000003</v>
      </c>
      <c r="L24" s="6" t="s">
        <v>107</v>
      </c>
      <c r="M24" s="5"/>
      <c r="N24" s="5"/>
      <c r="O24" s="4">
        <f t="shared" si="1"/>
        <v>0</v>
      </c>
      <c r="P24" s="6">
        <v>68741</v>
      </c>
      <c r="Q24" s="7">
        <v>45631</v>
      </c>
      <c r="R24" s="8">
        <v>45645</v>
      </c>
      <c r="S24" s="6" t="s">
        <v>109</v>
      </c>
      <c r="T24" s="6">
        <v>279180</v>
      </c>
      <c r="U24" s="6">
        <v>10520652641</v>
      </c>
      <c r="V24" s="6">
        <v>1.1100000000000001</v>
      </c>
      <c r="W24" s="6">
        <v>30</v>
      </c>
      <c r="X24" s="6">
        <v>0</v>
      </c>
      <c r="Y24" s="6" t="s">
        <v>110</v>
      </c>
      <c r="Z24" s="15" t="s">
        <v>111</v>
      </c>
      <c r="AA24" s="21">
        <v>1.5</v>
      </c>
      <c r="AB24" s="18">
        <v>0.14000000000000001</v>
      </c>
      <c r="AC24" s="24">
        <v>10</v>
      </c>
      <c r="AD24" s="18">
        <v>2.5</v>
      </c>
      <c r="AE24" s="18">
        <v>1.4</v>
      </c>
      <c r="AF24" s="6"/>
      <c r="AG24" s="6"/>
      <c r="AH24" s="6">
        <v>47</v>
      </c>
    </row>
    <row r="25" spans="1:34" s="9" customFormat="1" ht="25.5" customHeight="1" x14ac:dyDescent="0.3">
      <c r="A25" s="4" t="str">
        <f t="shared" si="0"/>
        <v>10520652651</v>
      </c>
      <c r="B25" s="5" t="s">
        <v>31</v>
      </c>
      <c r="C25" s="5" t="s">
        <v>32</v>
      </c>
      <c r="D25" s="6">
        <v>105</v>
      </c>
      <c r="E25" s="6">
        <v>206</v>
      </c>
      <c r="F25" s="6">
        <v>5265</v>
      </c>
      <c r="G25" s="6">
        <v>1</v>
      </c>
      <c r="H25" s="6" t="s">
        <v>48</v>
      </c>
      <c r="I25" s="6" t="s">
        <v>90</v>
      </c>
      <c r="J25" s="5">
        <v>4326</v>
      </c>
      <c r="K25" s="6">
        <v>2.1284179999999999</v>
      </c>
      <c r="L25" s="6" t="s">
        <v>108</v>
      </c>
      <c r="M25" s="5"/>
      <c r="N25" s="5"/>
      <c r="O25" s="4">
        <f t="shared" si="1"/>
        <v>0</v>
      </c>
      <c r="P25" s="6">
        <v>68741</v>
      </c>
      <c r="Q25" s="7">
        <v>45631</v>
      </c>
      <c r="R25" s="8">
        <v>45645</v>
      </c>
      <c r="S25" s="6" t="s">
        <v>109</v>
      </c>
      <c r="T25" s="6">
        <v>279181</v>
      </c>
      <c r="U25" s="6">
        <v>10520652651</v>
      </c>
      <c r="V25" s="6">
        <v>1.0900000000000001</v>
      </c>
      <c r="W25" s="6">
        <v>30</v>
      </c>
      <c r="X25" s="6">
        <v>0</v>
      </c>
      <c r="Y25" s="6" t="s">
        <v>110</v>
      </c>
      <c r="Z25" s="15" t="s">
        <v>111</v>
      </c>
      <c r="AA25" s="21">
        <v>1.7</v>
      </c>
      <c r="AB25" s="18">
        <v>0.15</v>
      </c>
      <c r="AC25" s="24">
        <v>11</v>
      </c>
      <c r="AD25" s="18">
        <v>2.8</v>
      </c>
      <c r="AE25" s="18">
        <v>1.7</v>
      </c>
      <c r="AF25" s="6"/>
      <c r="AG25" s="6"/>
      <c r="AH25" s="6">
        <v>56</v>
      </c>
    </row>
    <row r="26" spans="1:34" s="9" customFormat="1" ht="25.5" customHeight="1" x14ac:dyDescent="0.3">
      <c r="A26" s="4" t="str">
        <f t="shared" si="0"/>
        <v>10520655011</v>
      </c>
      <c r="B26" s="5" t="s">
        <v>31</v>
      </c>
      <c r="C26" s="5" t="s">
        <v>32</v>
      </c>
      <c r="D26" s="6">
        <v>105</v>
      </c>
      <c r="E26" s="6">
        <v>206</v>
      </c>
      <c r="F26" s="6">
        <v>5501</v>
      </c>
      <c r="G26" s="6">
        <v>1</v>
      </c>
      <c r="H26" s="6" t="s">
        <v>39</v>
      </c>
      <c r="I26" s="6" t="s">
        <v>64</v>
      </c>
      <c r="J26" s="5">
        <v>4326</v>
      </c>
      <c r="K26" s="6">
        <v>0.66923500000000002</v>
      </c>
      <c r="L26" s="6" t="s">
        <v>106</v>
      </c>
      <c r="M26" s="5"/>
      <c r="N26" s="5"/>
      <c r="O26" s="4">
        <f t="shared" si="1"/>
        <v>0</v>
      </c>
      <c r="P26" s="6">
        <v>68740</v>
      </c>
      <c r="Q26" s="7">
        <v>45630</v>
      </c>
      <c r="R26" s="8">
        <v>45645</v>
      </c>
      <c r="S26" s="6" t="s">
        <v>109</v>
      </c>
      <c r="T26" s="6">
        <v>279174</v>
      </c>
      <c r="U26" s="6">
        <v>10520655011</v>
      </c>
      <c r="V26" s="6">
        <v>1.06</v>
      </c>
      <c r="W26" s="6">
        <v>30</v>
      </c>
      <c r="X26" s="6">
        <v>0</v>
      </c>
      <c r="Y26" s="6" t="s">
        <v>110</v>
      </c>
      <c r="Z26" s="15">
        <v>0.1</v>
      </c>
      <c r="AA26" s="21">
        <v>2.4</v>
      </c>
      <c r="AB26" s="18">
        <v>0.19</v>
      </c>
      <c r="AC26" s="24">
        <v>12</v>
      </c>
      <c r="AD26" s="18">
        <v>4</v>
      </c>
      <c r="AE26" s="18">
        <v>2.2999999999999998</v>
      </c>
      <c r="AF26" s="6"/>
      <c r="AG26" s="6"/>
      <c r="AH26" s="6">
        <v>73</v>
      </c>
    </row>
    <row r="27" spans="1:34" s="9" customFormat="1" ht="25.5" customHeight="1" x14ac:dyDescent="0.3">
      <c r="A27" s="4" t="str">
        <f t="shared" si="0"/>
        <v>10520658251</v>
      </c>
      <c r="B27" s="5" t="s">
        <v>31</v>
      </c>
      <c r="C27" s="5" t="s">
        <v>32</v>
      </c>
      <c r="D27" s="6">
        <v>105</v>
      </c>
      <c r="E27" s="6">
        <v>206</v>
      </c>
      <c r="F27" s="6">
        <v>5825</v>
      </c>
      <c r="G27" s="6">
        <v>1</v>
      </c>
      <c r="H27" s="6" t="s">
        <v>40</v>
      </c>
      <c r="I27" s="6" t="s">
        <v>100</v>
      </c>
      <c r="J27" s="5">
        <v>4326</v>
      </c>
      <c r="K27" s="6">
        <v>2.2110150000000002</v>
      </c>
      <c r="L27" s="6" t="s">
        <v>107</v>
      </c>
      <c r="M27" s="5"/>
      <c r="N27" s="5"/>
      <c r="O27" s="4">
        <f t="shared" si="1"/>
        <v>0</v>
      </c>
      <c r="P27" s="6">
        <v>68736</v>
      </c>
      <c r="Q27" s="7">
        <v>45630</v>
      </c>
      <c r="R27" s="8">
        <v>45645</v>
      </c>
      <c r="S27" s="6" t="s">
        <v>109</v>
      </c>
      <c r="T27" s="6">
        <v>279136</v>
      </c>
      <c r="U27" s="6">
        <v>10520658251</v>
      </c>
      <c r="V27" s="6">
        <v>1.18</v>
      </c>
      <c r="W27" s="6">
        <v>30</v>
      </c>
      <c r="X27" s="6">
        <v>0</v>
      </c>
      <c r="Y27" s="6" t="s">
        <v>110</v>
      </c>
      <c r="Z27" s="15" t="s">
        <v>111</v>
      </c>
      <c r="AA27" s="21">
        <v>1.4</v>
      </c>
      <c r="AB27" s="18">
        <v>0.14000000000000001</v>
      </c>
      <c r="AC27" s="24">
        <v>10</v>
      </c>
      <c r="AD27" s="18">
        <v>2.4</v>
      </c>
      <c r="AE27" s="18">
        <v>1.4</v>
      </c>
      <c r="AF27" s="6"/>
      <c r="AG27" s="6"/>
      <c r="AH27" s="6">
        <v>50</v>
      </c>
    </row>
    <row r="28" spans="1:34" s="9" customFormat="1" ht="25.5" customHeight="1" x14ac:dyDescent="0.3">
      <c r="A28" s="4" t="str">
        <f t="shared" si="0"/>
        <v>10520658252</v>
      </c>
      <c r="B28" s="5" t="s">
        <v>31</v>
      </c>
      <c r="C28" s="5" t="s">
        <v>32</v>
      </c>
      <c r="D28" s="6">
        <v>105</v>
      </c>
      <c r="E28" s="6">
        <v>206</v>
      </c>
      <c r="F28" s="6">
        <v>5825</v>
      </c>
      <c r="G28" s="6">
        <v>2</v>
      </c>
      <c r="H28" s="6" t="s">
        <v>40</v>
      </c>
      <c r="I28" s="6" t="s">
        <v>65</v>
      </c>
      <c r="J28" s="5">
        <v>4326</v>
      </c>
      <c r="K28" s="6">
        <v>2.7353179999999999</v>
      </c>
      <c r="L28" s="6" t="s">
        <v>107</v>
      </c>
      <c r="M28" s="5"/>
      <c r="N28" s="5"/>
      <c r="O28" s="4">
        <f t="shared" si="1"/>
        <v>0</v>
      </c>
      <c r="P28" s="6">
        <v>68736</v>
      </c>
      <c r="Q28" s="7">
        <v>45630</v>
      </c>
      <c r="R28" s="8">
        <v>45645</v>
      </c>
      <c r="S28" s="6" t="s">
        <v>109</v>
      </c>
      <c r="T28" s="6">
        <v>279137</v>
      </c>
      <c r="U28" s="6">
        <v>10520658252</v>
      </c>
      <c r="V28" s="6">
        <v>1.2</v>
      </c>
      <c r="W28" s="6">
        <v>30</v>
      </c>
      <c r="X28" s="6">
        <v>0</v>
      </c>
      <c r="Y28" s="6" t="s">
        <v>110</v>
      </c>
      <c r="Z28" s="15" t="s">
        <v>111</v>
      </c>
      <c r="AA28" s="21">
        <v>1.7</v>
      </c>
      <c r="AB28" s="18">
        <v>0.14000000000000001</v>
      </c>
      <c r="AC28" s="24">
        <v>11</v>
      </c>
      <c r="AD28" s="18">
        <v>2.8</v>
      </c>
      <c r="AE28" s="18">
        <v>1.6</v>
      </c>
      <c r="AF28" s="6"/>
      <c r="AG28" s="6"/>
      <c r="AH28" s="6">
        <v>58</v>
      </c>
    </row>
    <row r="29" spans="1:34" s="9" customFormat="1" ht="25.5" customHeight="1" x14ac:dyDescent="0.3">
      <c r="A29" s="4" t="str">
        <f t="shared" si="0"/>
        <v>1052066431</v>
      </c>
      <c r="B29" s="5" t="s">
        <v>31</v>
      </c>
      <c r="C29" s="5" t="s">
        <v>32</v>
      </c>
      <c r="D29" s="6">
        <v>105</v>
      </c>
      <c r="E29" s="6">
        <v>206</v>
      </c>
      <c r="F29" s="6">
        <v>643</v>
      </c>
      <c r="G29" s="6">
        <v>1</v>
      </c>
      <c r="H29" s="6" t="s">
        <v>45</v>
      </c>
      <c r="I29" s="6" t="s">
        <v>75</v>
      </c>
      <c r="J29" s="5">
        <v>4326</v>
      </c>
      <c r="K29" s="6">
        <v>4.3565880000000003</v>
      </c>
      <c r="L29" s="6" t="s">
        <v>105</v>
      </c>
      <c r="M29" s="5"/>
      <c r="N29" s="5"/>
      <c r="O29" s="4">
        <f t="shared" si="1"/>
        <v>0</v>
      </c>
      <c r="P29" s="6">
        <v>68740</v>
      </c>
      <c r="Q29" s="7">
        <v>45630</v>
      </c>
      <c r="R29" s="8">
        <v>45645</v>
      </c>
      <c r="S29" s="6" t="s">
        <v>109</v>
      </c>
      <c r="T29" s="6">
        <v>279168</v>
      </c>
      <c r="U29" s="6">
        <v>1052066431</v>
      </c>
      <c r="V29" s="6">
        <v>1.0900000000000001</v>
      </c>
      <c r="W29" s="6">
        <v>30</v>
      </c>
      <c r="X29" s="6">
        <v>0</v>
      </c>
      <c r="Y29" s="6" t="s">
        <v>110</v>
      </c>
      <c r="Z29" s="15" t="s">
        <v>111</v>
      </c>
      <c r="AA29" s="21">
        <v>1.4</v>
      </c>
      <c r="AB29" s="18">
        <v>0.13</v>
      </c>
      <c r="AC29" s="24">
        <v>10</v>
      </c>
      <c r="AD29" s="18">
        <v>2.2999999999999998</v>
      </c>
      <c r="AE29" s="18">
        <v>1.3</v>
      </c>
      <c r="AF29" s="6"/>
      <c r="AG29" s="6"/>
      <c r="AH29" s="6">
        <v>43</v>
      </c>
    </row>
    <row r="30" spans="1:34" s="9" customFormat="1" ht="25.5" customHeight="1" x14ac:dyDescent="0.3">
      <c r="A30" s="4" t="str">
        <f t="shared" si="0"/>
        <v>1052066432</v>
      </c>
      <c r="B30" s="5" t="s">
        <v>31</v>
      </c>
      <c r="C30" s="5" t="s">
        <v>32</v>
      </c>
      <c r="D30" s="6">
        <v>105</v>
      </c>
      <c r="E30" s="6">
        <v>206</v>
      </c>
      <c r="F30" s="6">
        <v>643</v>
      </c>
      <c r="G30" s="6">
        <v>2</v>
      </c>
      <c r="H30" s="6" t="s">
        <v>45</v>
      </c>
      <c r="I30" s="6" t="s">
        <v>76</v>
      </c>
      <c r="J30" s="5">
        <v>4326</v>
      </c>
      <c r="K30" s="6">
        <v>4.356592</v>
      </c>
      <c r="L30" s="6" t="s">
        <v>105</v>
      </c>
      <c r="M30" s="5"/>
      <c r="N30" s="5"/>
      <c r="O30" s="4">
        <f t="shared" si="1"/>
        <v>0</v>
      </c>
      <c r="P30" s="6">
        <v>68742</v>
      </c>
      <c r="Q30" s="7">
        <v>45631</v>
      </c>
      <c r="R30" s="8">
        <v>45645</v>
      </c>
      <c r="S30" s="6" t="s">
        <v>109</v>
      </c>
      <c r="T30" s="6">
        <v>279182</v>
      </c>
      <c r="U30" s="6">
        <v>1052066432</v>
      </c>
      <c r="V30" s="6">
        <v>1.1399999999999999</v>
      </c>
      <c r="W30" s="6">
        <v>30</v>
      </c>
      <c r="X30" s="6">
        <v>0</v>
      </c>
      <c r="Y30" s="6" t="s">
        <v>110</v>
      </c>
      <c r="Z30" s="15">
        <v>0.1</v>
      </c>
      <c r="AA30" s="21">
        <v>1.6</v>
      </c>
      <c r="AB30" s="18">
        <v>0.14000000000000001</v>
      </c>
      <c r="AC30" s="24">
        <v>10</v>
      </c>
      <c r="AD30" s="18">
        <v>2.5</v>
      </c>
      <c r="AE30" s="18">
        <v>1.4</v>
      </c>
      <c r="AF30" s="6"/>
      <c r="AG30" s="6"/>
      <c r="AH30" s="6">
        <v>48</v>
      </c>
    </row>
    <row r="31" spans="1:34" s="9" customFormat="1" ht="25.5" customHeight="1" x14ac:dyDescent="0.3">
      <c r="A31" s="4" t="str">
        <f t="shared" si="0"/>
        <v>1052066433</v>
      </c>
      <c r="B31" s="5" t="s">
        <v>31</v>
      </c>
      <c r="C31" s="5" t="s">
        <v>32</v>
      </c>
      <c r="D31" s="6">
        <v>105</v>
      </c>
      <c r="E31" s="6">
        <v>206</v>
      </c>
      <c r="F31" s="6">
        <v>643</v>
      </c>
      <c r="G31" s="6">
        <v>3</v>
      </c>
      <c r="H31" s="6" t="s">
        <v>45</v>
      </c>
      <c r="I31" s="6" t="s">
        <v>94</v>
      </c>
      <c r="J31" s="5">
        <v>4326</v>
      </c>
      <c r="K31" s="6">
        <v>4.5412410000000003</v>
      </c>
      <c r="L31" s="6" t="s">
        <v>105</v>
      </c>
      <c r="M31" s="5"/>
      <c r="N31" s="5"/>
      <c r="O31" s="4">
        <f t="shared" si="1"/>
        <v>0</v>
      </c>
      <c r="P31" s="6">
        <v>68740</v>
      </c>
      <c r="Q31" s="7">
        <v>45630</v>
      </c>
      <c r="R31" s="8">
        <v>45645</v>
      </c>
      <c r="S31" s="6" t="s">
        <v>109</v>
      </c>
      <c r="T31" s="6">
        <v>279169</v>
      </c>
      <c r="U31" s="6">
        <v>1052066433</v>
      </c>
      <c r="V31" s="6">
        <v>1.1200000000000001</v>
      </c>
      <c r="W31" s="6">
        <v>30</v>
      </c>
      <c r="X31" s="6">
        <v>0</v>
      </c>
      <c r="Y31" s="6" t="s">
        <v>110</v>
      </c>
      <c r="Z31" s="15" t="s">
        <v>111</v>
      </c>
      <c r="AA31" s="21">
        <v>1.2</v>
      </c>
      <c r="AB31" s="18">
        <v>0.11</v>
      </c>
      <c r="AC31" s="24">
        <v>10</v>
      </c>
      <c r="AD31" s="18">
        <v>2</v>
      </c>
      <c r="AE31" s="18">
        <v>1.1000000000000001</v>
      </c>
      <c r="AF31" s="6"/>
      <c r="AG31" s="6"/>
      <c r="AH31" s="6">
        <v>37</v>
      </c>
    </row>
    <row r="32" spans="1:34" s="9" customFormat="1" ht="25.5" customHeight="1" x14ac:dyDescent="0.3">
      <c r="A32" s="4" t="str">
        <f t="shared" si="0"/>
        <v>1052066434</v>
      </c>
      <c r="B32" s="5" t="s">
        <v>31</v>
      </c>
      <c r="C32" s="5" t="s">
        <v>32</v>
      </c>
      <c r="D32" s="6">
        <v>105</v>
      </c>
      <c r="E32" s="6">
        <v>206</v>
      </c>
      <c r="F32" s="6">
        <v>643</v>
      </c>
      <c r="G32" s="6">
        <v>4</v>
      </c>
      <c r="H32" s="6" t="s">
        <v>45</v>
      </c>
      <c r="I32" s="6" t="s">
        <v>77</v>
      </c>
      <c r="J32" s="5">
        <v>4326</v>
      </c>
      <c r="K32" s="6">
        <v>4.1721529999999998</v>
      </c>
      <c r="L32" s="6" t="s">
        <v>105</v>
      </c>
      <c r="M32" s="5"/>
      <c r="N32" s="5"/>
      <c r="O32" s="4">
        <f t="shared" si="1"/>
        <v>-100</v>
      </c>
      <c r="P32" s="6">
        <v>68742</v>
      </c>
      <c r="Q32" s="7">
        <v>45631</v>
      </c>
      <c r="R32" s="8">
        <v>45645</v>
      </c>
      <c r="S32" s="6" t="s">
        <v>109</v>
      </c>
      <c r="T32" s="6">
        <v>279183</v>
      </c>
      <c r="U32" s="6">
        <v>1052066534</v>
      </c>
      <c r="V32" s="6">
        <v>1.1000000000000001</v>
      </c>
      <c r="W32" s="6">
        <v>30</v>
      </c>
      <c r="X32" s="6">
        <v>0</v>
      </c>
      <c r="Y32" s="6" t="s">
        <v>110</v>
      </c>
      <c r="Z32" s="15" t="s">
        <v>111</v>
      </c>
      <c r="AA32" s="21">
        <v>1.4</v>
      </c>
      <c r="AB32" s="18">
        <v>0.12</v>
      </c>
      <c r="AC32" s="24">
        <v>11</v>
      </c>
      <c r="AD32" s="18">
        <v>2.2999999999999998</v>
      </c>
      <c r="AE32" s="18">
        <v>1.3</v>
      </c>
      <c r="AF32" s="6"/>
      <c r="AG32" s="6"/>
      <c r="AH32" s="6">
        <v>43</v>
      </c>
    </row>
    <row r="33" spans="1:34" s="9" customFormat="1" ht="25.5" customHeight="1" x14ac:dyDescent="0.3">
      <c r="A33" s="4" t="str">
        <f t="shared" si="0"/>
        <v>10520672021</v>
      </c>
      <c r="B33" s="5" t="s">
        <v>31</v>
      </c>
      <c r="C33" s="5" t="s">
        <v>32</v>
      </c>
      <c r="D33" s="6">
        <v>105</v>
      </c>
      <c r="E33" s="6">
        <v>206</v>
      </c>
      <c r="F33" s="6">
        <v>7202</v>
      </c>
      <c r="G33" s="6">
        <v>1</v>
      </c>
      <c r="H33" s="6" t="s">
        <v>47</v>
      </c>
      <c r="I33" s="6" t="s">
        <v>84</v>
      </c>
      <c r="J33" s="5">
        <v>4326</v>
      </c>
      <c r="K33" s="6">
        <v>4.3863120000000002</v>
      </c>
      <c r="L33" s="6" t="s">
        <v>105</v>
      </c>
      <c r="M33" s="5"/>
      <c r="N33" s="5"/>
      <c r="O33" s="4">
        <f t="shared" si="1"/>
        <v>0</v>
      </c>
      <c r="P33" s="6">
        <v>68736</v>
      </c>
      <c r="Q33" s="7">
        <v>45630</v>
      </c>
      <c r="R33" s="8">
        <v>45645</v>
      </c>
      <c r="S33" s="6" t="s">
        <v>109</v>
      </c>
      <c r="T33" s="6">
        <v>279134</v>
      </c>
      <c r="U33" s="6">
        <v>10520672021</v>
      </c>
      <c r="V33" s="6">
        <v>1.1000000000000001</v>
      </c>
      <c r="W33" s="6">
        <v>30</v>
      </c>
      <c r="X33" s="6">
        <v>0</v>
      </c>
      <c r="Y33" s="6" t="s">
        <v>110</v>
      </c>
      <c r="Z33" s="15">
        <v>0.1</v>
      </c>
      <c r="AA33" s="21">
        <v>1.8</v>
      </c>
      <c r="AB33" s="18">
        <v>0.17</v>
      </c>
      <c r="AC33" s="24">
        <v>10</v>
      </c>
      <c r="AD33" s="18">
        <v>2.9</v>
      </c>
      <c r="AE33" s="18">
        <v>1.7</v>
      </c>
      <c r="AF33" s="6"/>
      <c r="AG33" s="6"/>
      <c r="AH33" s="6">
        <v>56</v>
      </c>
    </row>
    <row r="34" spans="1:34" s="9" customFormat="1" ht="25.5" customHeight="1" x14ac:dyDescent="0.3">
      <c r="A34" s="4" t="str">
        <f t="shared" ref="A34:A55" si="2">D34&amp;E34&amp;F34&amp;G34</f>
        <v>10520672022</v>
      </c>
      <c r="B34" s="5" t="s">
        <v>31</v>
      </c>
      <c r="C34" s="5" t="s">
        <v>32</v>
      </c>
      <c r="D34" s="6">
        <v>105</v>
      </c>
      <c r="E34" s="6">
        <v>206</v>
      </c>
      <c r="F34" s="6">
        <v>7202</v>
      </c>
      <c r="G34" s="6">
        <v>2</v>
      </c>
      <c r="H34" s="6" t="s">
        <v>47</v>
      </c>
      <c r="I34" s="6" t="s">
        <v>85</v>
      </c>
      <c r="J34" s="5">
        <v>4326</v>
      </c>
      <c r="K34" s="6">
        <v>4.3863209999999997</v>
      </c>
      <c r="L34" s="6" t="s">
        <v>105</v>
      </c>
      <c r="M34" s="5"/>
      <c r="N34" s="5"/>
      <c r="O34" s="4">
        <f t="shared" si="1"/>
        <v>0</v>
      </c>
      <c r="P34" s="6">
        <v>68741</v>
      </c>
      <c r="Q34" s="7">
        <v>45631</v>
      </c>
      <c r="R34" s="8">
        <v>45645</v>
      </c>
      <c r="S34" s="6" t="s">
        <v>109</v>
      </c>
      <c r="T34" s="6">
        <v>279175</v>
      </c>
      <c r="U34" s="6">
        <v>10520672022</v>
      </c>
      <c r="V34" s="6">
        <v>1.1200000000000001</v>
      </c>
      <c r="W34" s="6">
        <v>30</v>
      </c>
      <c r="X34" s="6">
        <v>0</v>
      </c>
      <c r="Y34" s="6" t="s">
        <v>110</v>
      </c>
      <c r="Z34" s="15">
        <v>0.1</v>
      </c>
      <c r="AA34" s="21">
        <v>1.5</v>
      </c>
      <c r="AB34" s="18">
        <v>0.14000000000000001</v>
      </c>
      <c r="AC34" s="24">
        <v>10</v>
      </c>
      <c r="AD34" s="18">
        <v>2.4</v>
      </c>
      <c r="AE34" s="18">
        <v>1.4</v>
      </c>
      <c r="AF34" s="6"/>
      <c r="AG34" s="6"/>
      <c r="AH34" s="6">
        <v>47</v>
      </c>
    </row>
    <row r="35" spans="1:34" s="9" customFormat="1" ht="25.5" customHeight="1" x14ac:dyDescent="0.3">
      <c r="A35" s="4" t="str">
        <f t="shared" si="2"/>
        <v>10520672023</v>
      </c>
      <c r="B35" s="5" t="s">
        <v>31</v>
      </c>
      <c r="C35" s="5" t="s">
        <v>32</v>
      </c>
      <c r="D35" s="6">
        <v>105</v>
      </c>
      <c r="E35" s="6">
        <v>206</v>
      </c>
      <c r="F35" s="6">
        <v>7202</v>
      </c>
      <c r="G35" s="6">
        <v>3</v>
      </c>
      <c r="H35" s="6" t="s">
        <v>47</v>
      </c>
      <c r="I35" s="6" t="s">
        <v>86</v>
      </c>
      <c r="J35" s="5">
        <v>4326</v>
      </c>
      <c r="K35" s="6">
        <v>4.3863190000000003</v>
      </c>
      <c r="L35" s="6" t="s">
        <v>105</v>
      </c>
      <c r="M35" s="5"/>
      <c r="N35" s="5"/>
      <c r="O35" s="4">
        <f t="shared" si="1"/>
        <v>0</v>
      </c>
      <c r="P35" s="6">
        <v>68739</v>
      </c>
      <c r="Q35" s="7">
        <v>45630</v>
      </c>
      <c r="R35" s="8">
        <v>45645</v>
      </c>
      <c r="S35" s="6" t="s">
        <v>109</v>
      </c>
      <c r="T35" s="6">
        <v>279160</v>
      </c>
      <c r="U35" s="6">
        <v>10520672023</v>
      </c>
      <c r="V35" s="6">
        <v>1.1200000000000001</v>
      </c>
      <c r="W35" s="6">
        <v>30</v>
      </c>
      <c r="X35" s="6">
        <v>0</v>
      </c>
      <c r="Y35" s="6" t="s">
        <v>110</v>
      </c>
      <c r="Z35" s="15" t="s">
        <v>111</v>
      </c>
      <c r="AA35" s="21">
        <v>1.5</v>
      </c>
      <c r="AB35" s="18">
        <v>0.15</v>
      </c>
      <c r="AC35" s="24">
        <v>9</v>
      </c>
      <c r="AD35" s="18">
        <v>2.4</v>
      </c>
      <c r="AE35" s="18">
        <v>1.4</v>
      </c>
      <c r="AF35" s="6"/>
      <c r="AG35" s="6"/>
      <c r="AH35" s="6">
        <v>47</v>
      </c>
    </row>
    <row r="36" spans="1:34" s="9" customFormat="1" ht="25.5" customHeight="1" x14ac:dyDescent="0.3">
      <c r="A36" s="4" t="str">
        <f t="shared" si="2"/>
        <v>10520672024</v>
      </c>
      <c r="B36" s="5" t="s">
        <v>31</v>
      </c>
      <c r="C36" s="5" t="s">
        <v>32</v>
      </c>
      <c r="D36" s="6">
        <v>105</v>
      </c>
      <c r="E36" s="6">
        <v>206</v>
      </c>
      <c r="F36" s="6">
        <v>7202</v>
      </c>
      <c r="G36" s="6">
        <v>4</v>
      </c>
      <c r="H36" s="6" t="s">
        <v>47</v>
      </c>
      <c r="I36" s="6" t="s">
        <v>87</v>
      </c>
      <c r="J36" s="5">
        <v>4326</v>
      </c>
      <c r="K36" s="6">
        <v>4.3863149999999997</v>
      </c>
      <c r="L36" s="6" t="s">
        <v>105</v>
      </c>
      <c r="M36" s="5"/>
      <c r="N36" s="5"/>
      <c r="O36" s="4">
        <f t="shared" si="1"/>
        <v>0</v>
      </c>
      <c r="P36" s="6">
        <v>68739</v>
      </c>
      <c r="Q36" s="7">
        <v>45630</v>
      </c>
      <c r="R36" s="8">
        <v>45645</v>
      </c>
      <c r="S36" s="6" t="s">
        <v>109</v>
      </c>
      <c r="T36" s="6">
        <v>279161</v>
      </c>
      <c r="U36" s="6">
        <v>10520672024</v>
      </c>
      <c r="V36" s="6">
        <v>1.1200000000000001</v>
      </c>
      <c r="W36" s="6">
        <v>30</v>
      </c>
      <c r="X36" s="6">
        <v>0</v>
      </c>
      <c r="Y36" s="6" t="s">
        <v>110</v>
      </c>
      <c r="Z36" s="15" t="s">
        <v>111</v>
      </c>
      <c r="AA36" s="21">
        <v>1.5</v>
      </c>
      <c r="AB36" s="18">
        <v>0.15</v>
      </c>
      <c r="AC36" s="24">
        <v>10</v>
      </c>
      <c r="AD36" s="18">
        <v>2.6</v>
      </c>
      <c r="AE36" s="18">
        <v>1.5</v>
      </c>
      <c r="AF36" s="6"/>
      <c r="AG36" s="6"/>
      <c r="AH36" s="6">
        <v>50</v>
      </c>
    </row>
    <row r="37" spans="1:34" s="9" customFormat="1" ht="25.5" customHeight="1" x14ac:dyDescent="0.3">
      <c r="A37" s="4" t="str">
        <f t="shared" si="2"/>
        <v>10520672025</v>
      </c>
      <c r="B37" s="5" t="s">
        <v>31</v>
      </c>
      <c r="C37" s="5" t="s">
        <v>32</v>
      </c>
      <c r="D37" s="6">
        <v>105</v>
      </c>
      <c r="E37" s="6">
        <v>206</v>
      </c>
      <c r="F37" s="6">
        <v>7202</v>
      </c>
      <c r="G37" s="6">
        <v>5</v>
      </c>
      <c r="H37" s="6" t="s">
        <v>47</v>
      </c>
      <c r="I37" s="6" t="s">
        <v>88</v>
      </c>
      <c r="J37" s="5">
        <v>4326</v>
      </c>
      <c r="K37" s="6">
        <v>4.3863219999999998</v>
      </c>
      <c r="L37" s="6" t="s">
        <v>105</v>
      </c>
      <c r="M37" s="5"/>
      <c r="N37" s="5"/>
      <c r="O37" s="4">
        <f t="shared" si="1"/>
        <v>0</v>
      </c>
      <c r="P37" s="6">
        <v>68736</v>
      </c>
      <c r="Q37" s="7">
        <v>45630</v>
      </c>
      <c r="R37" s="8">
        <v>45645</v>
      </c>
      <c r="S37" s="6" t="s">
        <v>109</v>
      </c>
      <c r="T37" s="6">
        <v>279135</v>
      </c>
      <c r="U37" s="6">
        <v>10520672025</v>
      </c>
      <c r="V37" s="6">
        <v>1.1200000000000001</v>
      </c>
      <c r="W37" s="6">
        <v>30</v>
      </c>
      <c r="X37" s="6">
        <v>0</v>
      </c>
      <c r="Y37" s="6" t="s">
        <v>110</v>
      </c>
      <c r="Z37" s="15" t="s">
        <v>111</v>
      </c>
      <c r="AA37" s="21">
        <v>1.5</v>
      </c>
      <c r="AB37" s="18">
        <v>0.15</v>
      </c>
      <c r="AC37" s="24">
        <v>10</v>
      </c>
      <c r="AD37" s="18">
        <v>2.6</v>
      </c>
      <c r="AE37" s="18">
        <v>1.5</v>
      </c>
      <c r="AF37" s="6"/>
      <c r="AG37" s="6"/>
      <c r="AH37" s="6">
        <v>50</v>
      </c>
    </row>
    <row r="38" spans="1:34" s="9" customFormat="1" ht="25.5" customHeight="1" x14ac:dyDescent="0.3">
      <c r="A38" s="4" t="str">
        <f t="shared" si="2"/>
        <v>10520672026</v>
      </c>
      <c r="B38" s="5" t="s">
        <v>31</v>
      </c>
      <c r="C38" s="5" t="s">
        <v>32</v>
      </c>
      <c r="D38" s="6">
        <v>105</v>
      </c>
      <c r="E38" s="6">
        <v>206</v>
      </c>
      <c r="F38" s="6">
        <v>7202</v>
      </c>
      <c r="G38" s="6">
        <v>6</v>
      </c>
      <c r="H38" s="6" t="s">
        <v>47</v>
      </c>
      <c r="I38" s="6" t="s">
        <v>89</v>
      </c>
      <c r="J38" s="5">
        <v>4326</v>
      </c>
      <c r="K38" s="6">
        <v>4.3863219999999998</v>
      </c>
      <c r="L38" s="6" t="s">
        <v>105</v>
      </c>
      <c r="M38" s="5"/>
      <c r="N38" s="5"/>
      <c r="O38" s="4">
        <f t="shared" si="1"/>
        <v>0</v>
      </c>
      <c r="P38" s="6">
        <v>68740</v>
      </c>
      <c r="Q38" s="7">
        <v>45630</v>
      </c>
      <c r="R38" s="8">
        <v>45645</v>
      </c>
      <c r="S38" s="6" t="s">
        <v>109</v>
      </c>
      <c r="T38" s="6">
        <v>279170</v>
      </c>
      <c r="U38" s="6">
        <v>10520672026</v>
      </c>
      <c r="V38" s="6">
        <v>1.1100000000000001</v>
      </c>
      <c r="W38" s="6">
        <v>30</v>
      </c>
      <c r="X38" s="6">
        <v>0</v>
      </c>
      <c r="Y38" s="6" t="s">
        <v>110</v>
      </c>
      <c r="Z38" s="15" t="s">
        <v>111</v>
      </c>
      <c r="AA38" s="21">
        <v>1.5</v>
      </c>
      <c r="AB38" s="18">
        <v>0.15</v>
      </c>
      <c r="AC38" s="24">
        <v>10</v>
      </c>
      <c r="AD38" s="18">
        <v>2.7</v>
      </c>
      <c r="AE38" s="18">
        <v>1.5</v>
      </c>
      <c r="AF38" s="6"/>
      <c r="AG38" s="6"/>
      <c r="AH38" s="6">
        <v>50</v>
      </c>
    </row>
    <row r="39" spans="1:34" s="9" customFormat="1" ht="25.5" customHeight="1" x14ac:dyDescent="0.3">
      <c r="A39" s="4" t="str">
        <f t="shared" si="2"/>
        <v>10520679701</v>
      </c>
      <c r="B39" s="5" t="s">
        <v>31</v>
      </c>
      <c r="C39" s="5" t="s">
        <v>32</v>
      </c>
      <c r="D39" s="6">
        <v>105</v>
      </c>
      <c r="E39" s="6">
        <v>206</v>
      </c>
      <c r="F39" s="6">
        <v>7970</v>
      </c>
      <c r="G39" s="6">
        <v>1</v>
      </c>
      <c r="H39" s="6" t="s">
        <v>37</v>
      </c>
      <c r="I39" s="6" t="s">
        <v>53</v>
      </c>
      <c r="J39" s="5">
        <v>4326</v>
      </c>
      <c r="K39" s="6">
        <v>4.7516740000000004</v>
      </c>
      <c r="L39" s="6" t="s">
        <v>105</v>
      </c>
      <c r="M39" s="5"/>
      <c r="N39" s="5"/>
      <c r="O39" s="4">
        <f t="shared" si="1"/>
        <v>0</v>
      </c>
      <c r="P39" s="6">
        <v>68737</v>
      </c>
      <c r="Q39" s="7">
        <v>45630</v>
      </c>
      <c r="R39" s="8">
        <v>45645</v>
      </c>
      <c r="S39" s="6" t="s">
        <v>109</v>
      </c>
      <c r="T39" s="6">
        <v>279142</v>
      </c>
      <c r="U39" s="6">
        <v>10520679701</v>
      </c>
      <c r="V39" s="6">
        <v>1.19</v>
      </c>
      <c r="W39" s="6">
        <v>30</v>
      </c>
      <c r="X39" s="6">
        <v>0</v>
      </c>
      <c r="Y39" s="6" t="s">
        <v>110</v>
      </c>
      <c r="Z39" s="15" t="s">
        <v>111</v>
      </c>
      <c r="AA39" s="21">
        <v>1.3</v>
      </c>
      <c r="AB39" s="18">
        <v>0.12</v>
      </c>
      <c r="AC39" s="24">
        <v>10</v>
      </c>
      <c r="AD39" s="18">
        <v>2.2000000000000002</v>
      </c>
      <c r="AE39" s="18">
        <v>1.2</v>
      </c>
      <c r="AF39" s="6"/>
      <c r="AG39" s="6"/>
      <c r="AH39" s="6">
        <v>43</v>
      </c>
    </row>
    <row r="40" spans="1:34" s="9" customFormat="1" ht="25.5" customHeight="1" x14ac:dyDescent="0.3">
      <c r="A40" s="4" t="str">
        <f t="shared" si="2"/>
        <v>10520679702</v>
      </c>
      <c r="B40" s="5" t="s">
        <v>31</v>
      </c>
      <c r="C40" s="5" t="s">
        <v>32</v>
      </c>
      <c r="D40" s="6">
        <v>105</v>
      </c>
      <c r="E40" s="6">
        <v>206</v>
      </c>
      <c r="F40" s="6">
        <v>7970</v>
      </c>
      <c r="G40" s="6">
        <v>2</v>
      </c>
      <c r="H40" s="6" t="s">
        <v>37</v>
      </c>
      <c r="I40" s="6" t="s">
        <v>54</v>
      </c>
      <c r="J40" s="5">
        <v>4326</v>
      </c>
      <c r="K40" s="6">
        <v>4.7516829999999999</v>
      </c>
      <c r="L40" s="6" t="s">
        <v>105</v>
      </c>
      <c r="M40" s="5"/>
      <c r="N40" s="5"/>
      <c r="O40" s="4">
        <f t="shared" si="1"/>
        <v>0</v>
      </c>
      <c r="P40" s="6">
        <v>68740</v>
      </c>
      <c r="Q40" s="7">
        <v>45630</v>
      </c>
      <c r="R40" s="8">
        <v>45645</v>
      </c>
      <c r="S40" s="6" t="s">
        <v>109</v>
      </c>
      <c r="T40" s="6">
        <v>279171</v>
      </c>
      <c r="U40" s="6">
        <v>10520679702</v>
      </c>
      <c r="V40" s="6">
        <v>1.1100000000000001</v>
      </c>
      <c r="W40" s="6">
        <v>30</v>
      </c>
      <c r="X40" s="6">
        <v>0</v>
      </c>
      <c r="Y40" s="6" t="s">
        <v>110</v>
      </c>
      <c r="Z40" s="15" t="s">
        <v>111</v>
      </c>
      <c r="AA40" s="21">
        <v>1.4</v>
      </c>
      <c r="AB40" s="18">
        <v>0.13</v>
      </c>
      <c r="AC40" s="24">
        <v>11</v>
      </c>
      <c r="AD40" s="18">
        <v>2.5</v>
      </c>
      <c r="AE40" s="18">
        <v>1.4</v>
      </c>
      <c r="AF40" s="6"/>
      <c r="AG40" s="6"/>
      <c r="AH40" s="6">
        <v>47</v>
      </c>
    </row>
    <row r="41" spans="1:34" s="9" customFormat="1" ht="25.5" customHeight="1" x14ac:dyDescent="0.3">
      <c r="A41" s="4" t="str">
        <f t="shared" si="2"/>
        <v>10520679703</v>
      </c>
      <c r="B41" s="5" t="s">
        <v>31</v>
      </c>
      <c r="C41" s="5" t="s">
        <v>32</v>
      </c>
      <c r="D41" s="6">
        <v>105</v>
      </c>
      <c r="E41" s="6">
        <v>206</v>
      </c>
      <c r="F41" s="6">
        <v>7970</v>
      </c>
      <c r="G41" s="6">
        <v>3</v>
      </c>
      <c r="H41" s="6" t="s">
        <v>37</v>
      </c>
      <c r="I41" s="6" t="s">
        <v>55</v>
      </c>
      <c r="J41" s="5">
        <v>4326</v>
      </c>
      <c r="K41" s="6">
        <v>4.7516730000000003</v>
      </c>
      <c r="L41" s="6" t="s">
        <v>105</v>
      </c>
      <c r="M41" s="5"/>
      <c r="N41" s="5"/>
      <c r="O41" s="4">
        <f t="shared" si="1"/>
        <v>0</v>
      </c>
      <c r="P41" s="6">
        <v>68739</v>
      </c>
      <c r="Q41" s="7">
        <v>45630</v>
      </c>
      <c r="R41" s="8">
        <v>45645</v>
      </c>
      <c r="S41" s="6" t="s">
        <v>109</v>
      </c>
      <c r="T41" s="6">
        <v>279162</v>
      </c>
      <c r="U41" s="6">
        <v>10520679703</v>
      </c>
      <c r="V41" s="6">
        <v>1.17</v>
      </c>
      <c r="W41" s="6">
        <v>30</v>
      </c>
      <c r="X41" s="6">
        <v>0</v>
      </c>
      <c r="Y41" s="6" t="s">
        <v>110</v>
      </c>
      <c r="Z41" s="15" t="s">
        <v>111</v>
      </c>
      <c r="AA41" s="21">
        <v>1.3</v>
      </c>
      <c r="AB41" s="18">
        <v>0.12</v>
      </c>
      <c r="AC41" s="24">
        <v>11</v>
      </c>
      <c r="AD41" s="18">
        <v>2.2000000000000002</v>
      </c>
      <c r="AE41" s="18">
        <v>1.3</v>
      </c>
      <c r="AF41" s="6"/>
      <c r="AG41" s="6"/>
      <c r="AH41" s="6">
        <v>46</v>
      </c>
    </row>
    <row r="42" spans="1:34" s="9" customFormat="1" ht="25.5" customHeight="1" x14ac:dyDescent="0.3">
      <c r="A42" s="4" t="str">
        <f t="shared" si="2"/>
        <v>10520679704</v>
      </c>
      <c r="B42" s="5" t="s">
        <v>31</v>
      </c>
      <c r="C42" s="5" t="s">
        <v>32</v>
      </c>
      <c r="D42" s="6">
        <v>105</v>
      </c>
      <c r="E42" s="6">
        <v>206</v>
      </c>
      <c r="F42" s="6">
        <v>7970</v>
      </c>
      <c r="G42" s="6">
        <v>4</v>
      </c>
      <c r="H42" s="6" t="s">
        <v>37</v>
      </c>
      <c r="I42" s="6" t="s">
        <v>56</v>
      </c>
      <c r="J42" s="5">
        <v>4326</v>
      </c>
      <c r="K42" s="6">
        <v>4.751671</v>
      </c>
      <c r="L42" s="6" t="s">
        <v>105</v>
      </c>
      <c r="M42" s="5"/>
      <c r="N42" s="5"/>
      <c r="O42" s="4">
        <f t="shared" si="1"/>
        <v>0</v>
      </c>
      <c r="P42" s="6">
        <v>68737</v>
      </c>
      <c r="Q42" s="7">
        <v>45630</v>
      </c>
      <c r="R42" s="8">
        <v>45645</v>
      </c>
      <c r="S42" s="6" t="s">
        <v>109</v>
      </c>
      <c r="T42" s="6">
        <v>279143</v>
      </c>
      <c r="U42" s="6">
        <v>10520679704</v>
      </c>
      <c r="V42" s="6">
        <v>1.1000000000000001</v>
      </c>
      <c r="W42" s="6">
        <v>30</v>
      </c>
      <c r="X42" s="6">
        <v>0</v>
      </c>
      <c r="Y42" s="6" t="s">
        <v>110</v>
      </c>
      <c r="Z42" s="15" t="s">
        <v>111</v>
      </c>
      <c r="AA42" s="21">
        <v>1.5</v>
      </c>
      <c r="AB42" s="18">
        <v>0.14000000000000001</v>
      </c>
      <c r="AC42" s="24">
        <v>11</v>
      </c>
      <c r="AD42" s="18">
        <v>2.6</v>
      </c>
      <c r="AE42" s="18">
        <v>1.5</v>
      </c>
      <c r="AF42" s="6"/>
      <c r="AG42" s="6"/>
      <c r="AH42" s="6">
        <v>50</v>
      </c>
    </row>
    <row r="43" spans="1:34" s="9" customFormat="1" ht="25.5" customHeight="1" x14ac:dyDescent="0.3">
      <c r="A43" s="4" t="str">
        <f t="shared" si="2"/>
        <v>10520679705</v>
      </c>
      <c r="B43" s="5" t="s">
        <v>31</v>
      </c>
      <c r="C43" s="5" t="s">
        <v>32</v>
      </c>
      <c r="D43" s="6">
        <v>105</v>
      </c>
      <c r="E43" s="6">
        <v>206</v>
      </c>
      <c r="F43" s="6">
        <v>7970</v>
      </c>
      <c r="G43" s="6">
        <v>5</v>
      </c>
      <c r="H43" s="6" t="s">
        <v>37</v>
      </c>
      <c r="I43" s="6" t="s">
        <v>57</v>
      </c>
      <c r="J43" s="5">
        <v>4326</v>
      </c>
      <c r="K43" s="6">
        <v>4.7516790000000002</v>
      </c>
      <c r="L43" s="6" t="s">
        <v>105</v>
      </c>
      <c r="M43" s="5"/>
      <c r="N43" s="5"/>
      <c r="O43" s="4">
        <f t="shared" si="1"/>
        <v>0</v>
      </c>
      <c r="P43" s="6">
        <v>68737</v>
      </c>
      <c r="Q43" s="7">
        <v>45630</v>
      </c>
      <c r="R43" s="8">
        <v>45645</v>
      </c>
      <c r="S43" s="6" t="s">
        <v>109</v>
      </c>
      <c r="T43" s="6">
        <v>279144</v>
      </c>
      <c r="U43" s="6">
        <v>10520679705</v>
      </c>
      <c r="V43" s="6">
        <v>1.1399999999999999</v>
      </c>
      <c r="W43" s="6">
        <v>30</v>
      </c>
      <c r="X43" s="6">
        <v>0</v>
      </c>
      <c r="Y43" s="6" t="s">
        <v>110</v>
      </c>
      <c r="Z43" s="15" t="s">
        <v>111</v>
      </c>
      <c r="AA43" s="21">
        <v>1.2</v>
      </c>
      <c r="AB43" s="18">
        <v>0.11</v>
      </c>
      <c r="AC43" s="24">
        <v>11</v>
      </c>
      <c r="AD43" s="18">
        <v>2</v>
      </c>
      <c r="AE43" s="18">
        <v>1.2</v>
      </c>
      <c r="AF43" s="6"/>
      <c r="AG43" s="6"/>
      <c r="AH43" s="6">
        <v>41</v>
      </c>
    </row>
    <row r="44" spans="1:34" s="9" customFormat="1" ht="25.5" customHeight="1" x14ac:dyDescent="0.3">
      <c r="A44" s="4" t="str">
        <f t="shared" si="2"/>
        <v>10520681881</v>
      </c>
      <c r="B44" s="5" t="s">
        <v>31</v>
      </c>
      <c r="C44" s="5" t="s">
        <v>32</v>
      </c>
      <c r="D44" s="6">
        <v>105</v>
      </c>
      <c r="E44" s="6">
        <v>206</v>
      </c>
      <c r="F44" s="6">
        <v>8188</v>
      </c>
      <c r="G44" s="6">
        <v>1</v>
      </c>
      <c r="H44" s="6" t="s">
        <v>41</v>
      </c>
      <c r="I44" s="6" t="s">
        <v>97</v>
      </c>
      <c r="J44" s="5">
        <v>4326</v>
      </c>
      <c r="K44" s="6">
        <v>2.7380429999999998</v>
      </c>
      <c r="L44" s="6" t="s">
        <v>105</v>
      </c>
      <c r="M44" s="5"/>
      <c r="N44" s="5"/>
      <c r="O44" s="4">
        <f t="shared" si="1"/>
        <v>0</v>
      </c>
      <c r="P44" s="6">
        <v>68738</v>
      </c>
      <c r="Q44" s="7">
        <v>45630</v>
      </c>
      <c r="R44" s="8">
        <v>45645</v>
      </c>
      <c r="S44" s="6" t="s">
        <v>109</v>
      </c>
      <c r="T44" s="6">
        <v>279155</v>
      </c>
      <c r="U44" s="6">
        <v>10520681881</v>
      </c>
      <c r="V44" s="6">
        <v>1.17</v>
      </c>
      <c r="W44" s="6">
        <v>30</v>
      </c>
      <c r="X44" s="6">
        <v>0</v>
      </c>
      <c r="Y44" s="6" t="s">
        <v>110</v>
      </c>
      <c r="Z44" s="15" t="s">
        <v>111</v>
      </c>
      <c r="AA44" s="21">
        <v>1.1000000000000001</v>
      </c>
      <c r="AB44" s="18">
        <v>0.11</v>
      </c>
      <c r="AC44" s="24">
        <v>10</v>
      </c>
      <c r="AD44" s="18">
        <v>1.8</v>
      </c>
      <c r="AE44" s="18">
        <v>1.1000000000000001</v>
      </c>
      <c r="AF44" s="6"/>
      <c r="AG44" s="6"/>
      <c r="AH44" s="6">
        <v>39</v>
      </c>
    </row>
    <row r="45" spans="1:34" s="9" customFormat="1" ht="25.5" customHeight="1" x14ac:dyDescent="0.3">
      <c r="A45" s="4" t="str">
        <f t="shared" si="2"/>
        <v>10520681882</v>
      </c>
      <c r="B45" s="5" t="s">
        <v>31</v>
      </c>
      <c r="C45" s="5" t="s">
        <v>32</v>
      </c>
      <c r="D45" s="6">
        <v>105</v>
      </c>
      <c r="E45" s="6">
        <v>206</v>
      </c>
      <c r="F45" s="6">
        <v>8188</v>
      </c>
      <c r="G45" s="6">
        <v>2</v>
      </c>
      <c r="H45" s="6" t="s">
        <v>41</v>
      </c>
      <c r="I45" s="6" t="s">
        <v>66</v>
      </c>
      <c r="J45" s="5">
        <v>4326</v>
      </c>
      <c r="K45" s="6">
        <v>2.243398</v>
      </c>
      <c r="L45" s="6" t="s">
        <v>105</v>
      </c>
      <c r="M45" s="5"/>
      <c r="N45" s="5"/>
      <c r="O45" s="4">
        <f t="shared" si="1"/>
        <v>0</v>
      </c>
      <c r="P45" s="6">
        <v>68738</v>
      </c>
      <c r="Q45" s="7">
        <v>45630</v>
      </c>
      <c r="R45" s="8">
        <v>45645</v>
      </c>
      <c r="S45" s="6" t="s">
        <v>109</v>
      </c>
      <c r="T45" s="6">
        <v>279156</v>
      </c>
      <c r="U45" s="6">
        <v>10520681882</v>
      </c>
      <c r="V45" s="6">
        <v>1.19</v>
      </c>
      <c r="W45" s="6">
        <v>30</v>
      </c>
      <c r="X45" s="6">
        <v>0</v>
      </c>
      <c r="Y45" s="6" t="s">
        <v>110</v>
      </c>
      <c r="Z45" s="15" t="s">
        <v>111</v>
      </c>
      <c r="AA45" s="21">
        <v>1.2</v>
      </c>
      <c r="AB45" s="18">
        <v>0.11</v>
      </c>
      <c r="AC45" s="24">
        <v>11</v>
      </c>
      <c r="AD45" s="18">
        <v>2</v>
      </c>
      <c r="AE45" s="18">
        <v>1.2</v>
      </c>
      <c r="AF45" s="6"/>
      <c r="AG45" s="6"/>
      <c r="AH45" s="6">
        <v>43</v>
      </c>
    </row>
    <row r="46" spans="1:34" s="9" customFormat="1" ht="25.5" customHeight="1" x14ac:dyDescent="0.3">
      <c r="A46" s="4" t="str">
        <f t="shared" si="2"/>
        <v>10520681883</v>
      </c>
      <c r="B46" s="5" t="s">
        <v>31</v>
      </c>
      <c r="C46" s="5" t="s">
        <v>32</v>
      </c>
      <c r="D46" s="6">
        <v>105</v>
      </c>
      <c r="E46" s="6">
        <v>206</v>
      </c>
      <c r="F46" s="6">
        <v>8188</v>
      </c>
      <c r="G46" s="6">
        <v>3</v>
      </c>
      <c r="H46" s="6" t="s">
        <v>41</v>
      </c>
      <c r="I46" s="6" t="s">
        <v>98</v>
      </c>
      <c r="J46" s="5">
        <v>4326</v>
      </c>
      <c r="K46" s="6">
        <v>2.5564460000000002</v>
      </c>
      <c r="L46" s="6" t="s">
        <v>105</v>
      </c>
      <c r="M46" s="5"/>
      <c r="N46" s="5"/>
      <c r="O46" s="4">
        <f t="shared" si="1"/>
        <v>0</v>
      </c>
      <c r="P46" s="6">
        <v>68738</v>
      </c>
      <c r="Q46" s="7">
        <v>45630</v>
      </c>
      <c r="R46" s="8">
        <v>45645</v>
      </c>
      <c r="S46" s="6" t="s">
        <v>109</v>
      </c>
      <c r="T46" s="6">
        <v>279157</v>
      </c>
      <c r="U46" s="6">
        <v>10520681883</v>
      </c>
      <c r="V46" s="6">
        <v>1.23</v>
      </c>
      <c r="W46" s="6">
        <v>30</v>
      </c>
      <c r="X46" s="6">
        <v>0</v>
      </c>
      <c r="Y46" s="6" t="s">
        <v>110</v>
      </c>
      <c r="Z46" s="15" t="s">
        <v>111</v>
      </c>
      <c r="AA46" s="21">
        <v>0.9</v>
      </c>
      <c r="AB46" s="18">
        <v>0.09</v>
      </c>
      <c r="AC46" s="24">
        <v>9</v>
      </c>
      <c r="AD46" s="18">
        <v>1.5</v>
      </c>
      <c r="AE46" s="18">
        <v>0.8</v>
      </c>
      <c r="AF46" s="6"/>
      <c r="AG46" s="6"/>
      <c r="AH46" s="6">
        <v>30</v>
      </c>
    </row>
    <row r="47" spans="1:34" s="9" customFormat="1" ht="25.5" customHeight="1" x14ac:dyDescent="0.3">
      <c r="A47" s="4" t="str">
        <f t="shared" si="2"/>
        <v>10520681884</v>
      </c>
      <c r="B47" s="5" t="s">
        <v>31</v>
      </c>
      <c r="C47" s="5" t="s">
        <v>32</v>
      </c>
      <c r="D47" s="6">
        <v>105</v>
      </c>
      <c r="E47" s="6">
        <v>206</v>
      </c>
      <c r="F47" s="6">
        <v>8188</v>
      </c>
      <c r="G47" s="6">
        <v>4</v>
      </c>
      <c r="H47" s="6" t="s">
        <v>41</v>
      </c>
      <c r="I47" s="6" t="s">
        <v>67</v>
      </c>
      <c r="J47" s="5">
        <v>4326</v>
      </c>
      <c r="K47" s="6">
        <v>2.4249809999999998</v>
      </c>
      <c r="L47" s="6" t="s">
        <v>105</v>
      </c>
      <c r="M47" s="5"/>
      <c r="N47" s="5"/>
      <c r="O47" s="4">
        <f t="shared" si="1"/>
        <v>0</v>
      </c>
      <c r="P47" s="6">
        <v>68737</v>
      </c>
      <c r="Q47" s="7">
        <v>45630</v>
      </c>
      <c r="R47" s="8">
        <v>45645</v>
      </c>
      <c r="S47" s="6" t="s">
        <v>109</v>
      </c>
      <c r="T47" s="6">
        <v>279149</v>
      </c>
      <c r="U47" s="6">
        <v>10520681884</v>
      </c>
      <c r="V47" s="6">
        <v>1.22</v>
      </c>
      <c r="W47" s="6">
        <v>30</v>
      </c>
      <c r="X47" s="6">
        <v>0</v>
      </c>
      <c r="Y47" s="6" t="s">
        <v>110</v>
      </c>
      <c r="Z47" s="15" t="s">
        <v>111</v>
      </c>
      <c r="AA47" s="21">
        <v>1</v>
      </c>
      <c r="AB47" s="18">
        <v>0.1</v>
      </c>
      <c r="AC47" s="24">
        <v>10</v>
      </c>
      <c r="AD47" s="18">
        <v>1.7</v>
      </c>
      <c r="AE47" s="18">
        <v>1</v>
      </c>
      <c r="AF47" s="6"/>
      <c r="AG47" s="6"/>
      <c r="AH47" s="6">
        <v>37</v>
      </c>
    </row>
    <row r="48" spans="1:34" s="9" customFormat="1" ht="25.5" customHeight="1" x14ac:dyDescent="0.3">
      <c r="A48" s="4" t="str">
        <f t="shared" si="2"/>
        <v>10520681885</v>
      </c>
      <c r="B48" s="5" t="s">
        <v>31</v>
      </c>
      <c r="C48" s="5" t="s">
        <v>32</v>
      </c>
      <c r="D48" s="6">
        <v>105</v>
      </c>
      <c r="E48" s="6">
        <v>206</v>
      </c>
      <c r="F48" s="6">
        <v>8188</v>
      </c>
      <c r="G48" s="6">
        <v>5</v>
      </c>
      <c r="H48" s="6" t="s">
        <v>41</v>
      </c>
      <c r="I48" s="6" t="s">
        <v>99</v>
      </c>
      <c r="J48" s="5">
        <v>4326</v>
      </c>
      <c r="K48" s="6">
        <v>2.7757170000000002</v>
      </c>
      <c r="L48" s="6" t="s">
        <v>105</v>
      </c>
      <c r="M48" s="5"/>
      <c r="N48" s="5"/>
      <c r="O48" s="4">
        <f t="shared" si="1"/>
        <v>0</v>
      </c>
      <c r="P48" s="6">
        <v>68738</v>
      </c>
      <c r="Q48" s="7">
        <v>45630</v>
      </c>
      <c r="R48" s="8">
        <v>45645</v>
      </c>
      <c r="S48" s="6" t="s">
        <v>109</v>
      </c>
      <c r="T48" s="6">
        <v>279158</v>
      </c>
      <c r="U48" s="6">
        <v>10520681885</v>
      </c>
      <c r="V48" s="6">
        <v>1.22</v>
      </c>
      <c r="W48" s="6">
        <v>30</v>
      </c>
      <c r="X48" s="6">
        <v>0</v>
      </c>
      <c r="Y48" s="6" t="s">
        <v>110</v>
      </c>
      <c r="Z48" s="15" t="s">
        <v>111</v>
      </c>
      <c r="AA48" s="21">
        <v>1</v>
      </c>
      <c r="AB48" s="18">
        <v>0.1</v>
      </c>
      <c r="AC48" s="24">
        <v>10</v>
      </c>
      <c r="AD48" s="18">
        <v>1.7</v>
      </c>
      <c r="AE48" s="18">
        <v>1</v>
      </c>
      <c r="AF48" s="6"/>
      <c r="AG48" s="6"/>
      <c r="AH48" s="6">
        <v>37</v>
      </c>
    </row>
    <row r="49" spans="1:34" s="9" customFormat="1" ht="25.5" customHeight="1" x14ac:dyDescent="0.3">
      <c r="A49" s="4" t="str">
        <f t="shared" si="2"/>
        <v>10520681886</v>
      </c>
      <c r="B49" s="5" t="s">
        <v>31</v>
      </c>
      <c r="C49" s="5" t="s">
        <v>32</v>
      </c>
      <c r="D49" s="6">
        <v>105</v>
      </c>
      <c r="E49" s="6">
        <v>206</v>
      </c>
      <c r="F49" s="6">
        <v>8188</v>
      </c>
      <c r="G49" s="6">
        <v>6</v>
      </c>
      <c r="H49" s="6" t="s">
        <v>41</v>
      </c>
      <c r="I49" s="6" t="s">
        <v>68</v>
      </c>
      <c r="J49" s="5">
        <v>4326</v>
      </c>
      <c r="K49" s="6">
        <v>2.2056360000000002</v>
      </c>
      <c r="L49" s="6" t="s">
        <v>105</v>
      </c>
      <c r="M49" s="5"/>
      <c r="N49" s="5"/>
      <c r="O49" s="4">
        <f t="shared" si="1"/>
        <v>0</v>
      </c>
      <c r="P49" s="6">
        <v>68738</v>
      </c>
      <c r="Q49" s="7">
        <v>45630</v>
      </c>
      <c r="R49" s="8">
        <v>45645</v>
      </c>
      <c r="S49" s="6" t="s">
        <v>109</v>
      </c>
      <c r="T49" s="6">
        <v>279159</v>
      </c>
      <c r="U49" s="6">
        <v>10520681886</v>
      </c>
      <c r="V49" s="6">
        <v>1.22</v>
      </c>
      <c r="W49" s="6">
        <v>30</v>
      </c>
      <c r="X49" s="6">
        <v>0</v>
      </c>
      <c r="Y49" s="6" t="s">
        <v>110</v>
      </c>
      <c r="Z49" s="15" t="s">
        <v>111</v>
      </c>
      <c r="AA49" s="21">
        <v>1</v>
      </c>
      <c r="AB49" s="18">
        <v>0.1</v>
      </c>
      <c r="AC49" s="24">
        <v>10</v>
      </c>
      <c r="AD49" s="18">
        <v>1.6</v>
      </c>
      <c r="AE49" s="18">
        <v>1</v>
      </c>
      <c r="AF49" s="6"/>
      <c r="AG49" s="6"/>
      <c r="AH49" s="6">
        <v>37</v>
      </c>
    </row>
    <row r="50" spans="1:34" s="9" customFormat="1" ht="25.5" customHeight="1" x14ac:dyDescent="0.3">
      <c r="A50" s="4" t="str">
        <f t="shared" si="2"/>
        <v>10520683661</v>
      </c>
      <c r="B50" s="5" t="s">
        <v>31</v>
      </c>
      <c r="C50" s="5" t="s">
        <v>32</v>
      </c>
      <c r="D50" s="6">
        <v>105</v>
      </c>
      <c r="E50" s="6">
        <v>206</v>
      </c>
      <c r="F50" s="6">
        <v>8366</v>
      </c>
      <c r="G50" s="6">
        <v>1</v>
      </c>
      <c r="H50" s="6" t="s">
        <v>38</v>
      </c>
      <c r="I50" s="6" t="s">
        <v>58</v>
      </c>
      <c r="J50" s="5">
        <v>4326</v>
      </c>
      <c r="K50" s="6">
        <v>4.0913719999999998</v>
      </c>
      <c r="L50" s="6" t="s">
        <v>105</v>
      </c>
      <c r="M50" s="5"/>
      <c r="N50" s="5"/>
      <c r="O50" s="4">
        <f t="shared" si="1"/>
        <v>0</v>
      </c>
      <c r="P50" s="6">
        <v>68741</v>
      </c>
      <c r="Q50" s="7">
        <v>45631</v>
      </c>
      <c r="R50" s="8">
        <v>45645</v>
      </c>
      <c r="S50" s="6" t="s">
        <v>109</v>
      </c>
      <c r="T50" s="6">
        <v>279177</v>
      </c>
      <c r="U50" s="6">
        <v>10520683661</v>
      </c>
      <c r="V50" s="6">
        <v>1.1599999999999999</v>
      </c>
      <c r="W50" s="6">
        <v>30</v>
      </c>
      <c r="X50" s="6">
        <v>0</v>
      </c>
      <c r="Y50" s="6" t="s">
        <v>112</v>
      </c>
      <c r="Z50" s="15">
        <v>0.3</v>
      </c>
      <c r="AA50" s="21">
        <v>1.8</v>
      </c>
      <c r="AB50" s="18">
        <v>0.15</v>
      </c>
      <c r="AC50" s="24">
        <v>10</v>
      </c>
      <c r="AD50" s="18">
        <v>2.6</v>
      </c>
      <c r="AE50" s="18">
        <v>1.5</v>
      </c>
      <c r="AF50" s="6"/>
      <c r="AG50" s="6"/>
      <c r="AH50" s="6">
        <v>52</v>
      </c>
    </row>
    <row r="51" spans="1:34" s="9" customFormat="1" ht="25.5" customHeight="1" x14ac:dyDescent="0.3">
      <c r="A51" s="4" t="str">
        <f t="shared" si="2"/>
        <v>10520683662</v>
      </c>
      <c r="B51" s="5" t="s">
        <v>31</v>
      </c>
      <c r="C51" s="5" t="s">
        <v>32</v>
      </c>
      <c r="D51" s="6">
        <v>105</v>
      </c>
      <c r="E51" s="6">
        <v>206</v>
      </c>
      <c r="F51" s="6">
        <v>8366</v>
      </c>
      <c r="G51" s="6">
        <v>2</v>
      </c>
      <c r="H51" s="6" t="s">
        <v>38</v>
      </c>
      <c r="I51" s="6" t="s">
        <v>59</v>
      </c>
      <c r="J51" s="5">
        <v>4326</v>
      </c>
      <c r="K51" s="6">
        <v>4.0913680000000001</v>
      </c>
      <c r="L51" s="6" t="s">
        <v>105</v>
      </c>
      <c r="M51" s="5"/>
      <c r="N51" s="5"/>
      <c r="O51" s="4">
        <f t="shared" si="1"/>
        <v>0</v>
      </c>
      <c r="P51" s="6">
        <v>68740</v>
      </c>
      <c r="Q51" s="7">
        <v>45630</v>
      </c>
      <c r="R51" s="8">
        <v>45645</v>
      </c>
      <c r="S51" s="6" t="s">
        <v>109</v>
      </c>
      <c r="T51" s="6">
        <v>279172</v>
      </c>
      <c r="U51" s="6">
        <v>10520683662</v>
      </c>
      <c r="V51" s="6">
        <v>1.1100000000000001</v>
      </c>
      <c r="W51" s="6">
        <v>30</v>
      </c>
      <c r="X51" s="6">
        <v>0</v>
      </c>
      <c r="Y51" s="6" t="s">
        <v>112</v>
      </c>
      <c r="Z51" s="15">
        <v>0.2</v>
      </c>
      <c r="AA51" s="21">
        <v>1.6</v>
      </c>
      <c r="AB51" s="18">
        <v>0.14000000000000001</v>
      </c>
      <c r="AC51" s="24">
        <v>11</v>
      </c>
      <c r="AD51" s="18">
        <v>2.6</v>
      </c>
      <c r="AE51" s="18">
        <v>1.5</v>
      </c>
      <c r="AF51" s="6"/>
      <c r="AG51" s="6"/>
      <c r="AH51" s="6">
        <v>50</v>
      </c>
    </row>
    <row r="52" spans="1:34" s="9" customFormat="1" ht="25.5" customHeight="1" x14ac:dyDescent="0.3">
      <c r="A52" s="4" t="str">
        <f t="shared" si="2"/>
        <v>10520683663</v>
      </c>
      <c r="B52" s="5" t="s">
        <v>31</v>
      </c>
      <c r="C52" s="5" t="s">
        <v>32</v>
      </c>
      <c r="D52" s="6">
        <v>105</v>
      </c>
      <c r="E52" s="6">
        <v>206</v>
      </c>
      <c r="F52" s="6">
        <v>8366</v>
      </c>
      <c r="G52" s="6">
        <v>3</v>
      </c>
      <c r="H52" s="6" t="s">
        <v>38</v>
      </c>
      <c r="I52" s="6" t="s">
        <v>60</v>
      </c>
      <c r="J52" s="5">
        <v>4326</v>
      </c>
      <c r="K52" s="6">
        <v>4.0913649999999997</v>
      </c>
      <c r="L52" s="6" t="s">
        <v>105</v>
      </c>
      <c r="M52" s="5"/>
      <c r="N52" s="5"/>
      <c r="O52" s="4">
        <f t="shared" si="1"/>
        <v>0</v>
      </c>
      <c r="P52" s="6">
        <v>68742</v>
      </c>
      <c r="Q52" s="7">
        <v>45631</v>
      </c>
      <c r="R52" s="8">
        <v>45645</v>
      </c>
      <c r="S52" s="6" t="s">
        <v>109</v>
      </c>
      <c r="T52" s="6">
        <v>279184</v>
      </c>
      <c r="U52" s="6">
        <v>10520683663</v>
      </c>
      <c r="V52" s="6">
        <v>1.1399999999999999</v>
      </c>
      <c r="W52" s="6">
        <v>30</v>
      </c>
      <c r="X52" s="6">
        <v>0</v>
      </c>
      <c r="Y52" s="6" t="s">
        <v>110</v>
      </c>
      <c r="Z52" s="15">
        <v>0.1</v>
      </c>
      <c r="AA52" s="21">
        <v>1.4</v>
      </c>
      <c r="AB52" s="18">
        <v>0.12</v>
      </c>
      <c r="AC52" s="24">
        <v>11</v>
      </c>
      <c r="AD52" s="18">
        <v>2.2000000000000002</v>
      </c>
      <c r="AE52" s="18">
        <v>1.3</v>
      </c>
      <c r="AF52" s="6"/>
      <c r="AG52" s="6"/>
      <c r="AH52" s="6">
        <v>44</v>
      </c>
    </row>
    <row r="53" spans="1:34" s="9" customFormat="1" ht="25.5" customHeight="1" x14ac:dyDescent="0.3">
      <c r="A53" s="4" t="str">
        <f t="shared" si="2"/>
        <v>10520683664</v>
      </c>
      <c r="B53" s="5" t="s">
        <v>31</v>
      </c>
      <c r="C53" s="5" t="s">
        <v>32</v>
      </c>
      <c r="D53" s="6">
        <v>105</v>
      </c>
      <c r="E53" s="6">
        <v>206</v>
      </c>
      <c r="F53" s="6">
        <v>8366</v>
      </c>
      <c r="G53" s="6">
        <v>4</v>
      </c>
      <c r="H53" s="6" t="s">
        <v>38</v>
      </c>
      <c r="I53" s="6" t="s">
        <v>61</v>
      </c>
      <c r="J53" s="5">
        <v>4326</v>
      </c>
      <c r="K53" s="6">
        <v>4.0913719999999998</v>
      </c>
      <c r="L53" s="6" t="s">
        <v>105</v>
      </c>
      <c r="M53" s="5"/>
      <c r="N53" s="5"/>
      <c r="O53" s="4">
        <f t="shared" si="1"/>
        <v>0</v>
      </c>
      <c r="P53" s="6">
        <v>68736</v>
      </c>
      <c r="Q53" s="7">
        <v>45630</v>
      </c>
      <c r="R53" s="8">
        <v>45645</v>
      </c>
      <c r="S53" s="6" t="s">
        <v>109</v>
      </c>
      <c r="T53" s="6">
        <v>279140</v>
      </c>
      <c r="U53" s="6">
        <v>10520683664</v>
      </c>
      <c r="V53" s="6">
        <v>1.1399999999999999</v>
      </c>
      <c r="W53" s="6">
        <v>30</v>
      </c>
      <c r="X53" s="6">
        <v>0</v>
      </c>
      <c r="Y53" s="6" t="s">
        <v>110</v>
      </c>
      <c r="Z53" s="15" t="s">
        <v>111</v>
      </c>
      <c r="AA53" s="21">
        <v>1.4</v>
      </c>
      <c r="AB53" s="18">
        <v>0.14000000000000001</v>
      </c>
      <c r="AC53" s="24">
        <v>10</v>
      </c>
      <c r="AD53" s="18">
        <v>2.2999999999999998</v>
      </c>
      <c r="AE53" s="18">
        <v>1.4</v>
      </c>
      <c r="AF53" s="6"/>
      <c r="AG53" s="6"/>
      <c r="AH53" s="6">
        <v>48</v>
      </c>
    </row>
    <row r="54" spans="1:34" s="9" customFormat="1" ht="25.5" customHeight="1" x14ac:dyDescent="0.3">
      <c r="A54" s="4" t="str">
        <f t="shared" si="2"/>
        <v>10520683665</v>
      </c>
      <c r="B54" s="5" t="s">
        <v>31</v>
      </c>
      <c r="C54" s="5" t="s">
        <v>32</v>
      </c>
      <c r="D54" s="6">
        <v>105</v>
      </c>
      <c r="E54" s="6">
        <v>206</v>
      </c>
      <c r="F54" s="6">
        <v>8366</v>
      </c>
      <c r="G54" s="6">
        <v>5</v>
      </c>
      <c r="H54" s="6" t="s">
        <v>38</v>
      </c>
      <c r="I54" s="6" t="s">
        <v>62</v>
      </c>
      <c r="J54" s="5">
        <v>4326</v>
      </c>
      <c r="K54" s="6">
        <v>4.0913570000000004</v>
      </c>
      <c r="L54" s="6" t="s">
        <v>105</v>
      </c>
      <c r="M54" s="5"/>
      <c r="N54" s="5"/>
      <c r="O54" s="4">
        <f t="shared" si="1"/>
        <v>0</v>
      </c>
      <c r="P54" s="6">
        <v>68741</v>
      </c>
      <c r="Q54" s="7">
        <v>45631</v>
      </c>
      <c r="R54" s="8">
        <v>45645</v>
      </c>
      <c r="S54" s="6" t="s">
        <v>109</v>
      </c>
      <c r="T54" s="6">
        <v>279178</v>
      </c>
      <c r="U54" s="6">
        <v>10520683665</v>
      </c>
      <c r="V54" s="6">
        <v>1.1000000000000001</v>
      </c>
      <c r="W54" s="6">
        <v>30</v>
      </c>
      <c r="X54" s="6">
        <v>0</v>
      </c>
      <c r="Y54" s="6" t="s">
        <v>110</v>
      </c>
      <c r="Z54" s="15" t="s">
        <v>111</v>
      </c>
      <c r="AA54" s="21">
        <v>1.5</v>
      </c>
      <c r="AB54" s="18">
        <v>0.13</v>
      </c>
      <c r="AC54" s="24">
        <v>11</v>
      </c>
      <c r="AD54" s="18">
        <v>2.4</v>
      </c>
      <c r="AE54" s="18">
        <v>1.4</v>
      </c>
      <c r="AF54" s="6"/>
      <c r="AG54" s="6"/>
      <c r="AH54" s="6">
        <v>46</v>
      </c>
    </row>
    <row r="55" spans="1:34" s="9" customFormat="1" ht="25.5" customHeight="1" x14ac:dyDescent="0.3">
      <c r="A55" s="4" t="str">
        <f t="shared" si="2"/>
        <v>10520683666</v>
      </c>
      <c r="B55" s="5" t="s">
        <v>31</v>
      </c>
      <c r="C55" s="5" t="s">
        <v>32</v>
      </c>
      <c r="D55" s="6">
        <v>105</v>
      </c>
      <c r="E55" s="6">
        <v>206</v>
      </c>
      <c r="F55" s="6">
        <v>8366</v>
      </c>
      <c r="G55" s="6">
        <v>6</v>
      </c>
      <c r="H55" s="6" t="s">
        <v>38</v>
      </c>
      <c r="I55" s="6" t="s">
        <v>63</v>
      </c>
      <c r="J55" s="5">
        <v>4326</v>
      </c>
      <c r="K55" s="6">
        <v>4.0913430000000002</v>
      </c>
      <c r="L55" s="6" t="s">
        <v>105</v>
      </c>
      <c r="M55" s="5"/>
      <c r="N55" s="5"/>
      <c r="O55" s="4">
        <f t="shared" si="1"/>
        <v>0</v>
      </c>
      <c r="P55" s="6">
        <v>68736</v>
      </c>
      <c r="Q55" s="7">
        <v>45630</v>
      </c>
      <c r="R55" s="8">
        <v>45645</v>
      </c>
      <c r="S55" s="6" t="s">
        <v>109</v>
      </c>
      <c r="T55" s="6">
        <v>279141</v>
      </c>
      <c r="U55" s="6">
        <v>10520683666</v>
      </c>
      <c r="V55" s="6">
        <v>1.1399999999999999</v>
      </c>
      <c r="W55" s="6">
        <v>30</v>
      </c>
      <c r="X55" s="6">
        <v>0</v>
      </c>
      <c r="Y55" s="6" t="s">
        <v>110</v>
      </c>
      <c r="Z55" s="15" t="s">
        <v>111</v>
      </c>
      <c r="AA55" s="21">
        <v>1.5</v>
      </c>
      <c r="AB55" s="18">
        <v>0.14000000000000001</v>
      </c>
      <c r="AC55" s="24">
        <v>10</v>
      </c>
      <c r="AD55" s="18">
        <v>2.4</v>
      </c>
      <c r="AE55" s="18">
        <v>1.4</v>
      </c>
      <c r="AF55" s="6"/>
      <c r="AG55" s="6"/>
      <c r="AH55" s="6">
        <v>48</v>
      </c>
    </row>
  </sheetData>
  <sheetProtection selectLockedCells="1"/>
  <sortState xmlns:xlrd2="http://schemas.microsoft.com/office/spreadsheetml/2017/richdata2" ref="A2:AH55">
    <sortCondition ref="A2:A55"/>
  </sortState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  <SharedWithUsers xmlns="4f5b8274-46b8-4a8f-a999-a805dea4a360">
      <UserInfo>
        <DisplayName>David Wright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  <ds:schemaRef ds:uri="df85ff74-bd6f-4682-8a4d-85e7a3e8e6be"/>
    <ds:schemaRef ds:uri="fe0c9225-00e2-48f6-91c0-10da677c52f8"/>
  </ds:schemaRefs>
</ds:datastoreItem>
</file>

<file path=customXml/itemProps2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0D841F-18CA-41BA-BA77-FB8B453B1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Rojas Moreno</dc:creator>
  <cp:keywords/>
  <dc:description/>
  <cp:lastModifiedBy>Hannah Baldwin</cp:lastModifiedBy>
  <cp:revision/>
  <cp:lastPrinted>2022-06-16T19:33:48Z</cp:lastPrinted>
  <dcterms:created xsi:type="dcterms:W3CDTF">2022-06-11T16:45:09Z</dcterms:created>
  <dcterms:modified xsi:type="dcterms:W3CDTF">2025-05-23T08:53:26Z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13099100</vt:r8>
  </property>
  <property fmtid="{D5CDD505-2E9C-101B-9397-08002B2CF9AE}" pid="5" name="xd_Signature">
    <vt:bool>false</vt:bool>
  </property>
  <property fmtid="{D5CDD505-2E9C-101B-9397-08002B2CF9AE}" pid="6" name="SharedWithUsers">
    <vt:lpwstr>9;#David Wright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