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Kerr/105206Kerr24/Report/Tables/"/>
    </mc:Choice>
  </mc:AlternateContent>
  <xr:revisionPtr revIDLastSave="6" documentId="8_{3A8018DD-64FE-49FA-B297-5BCF410FE4AD}" xr6:coauthVersionLast="47" xr6:coauthVersionMax="47" xr10:uidLastSave="{CFDD86FD-1821-4E82-A518-96AC2B4E9C46}"/>
  <bookViews>
    <workbookView xWindow="-108" yWindow="-108" windowWidth="23256" windowHeight="12456" activeTab="3" xr2:uid="{00000000-000D-0000-FFFF-FFFF00000000}"/>
  </bookViews>
  <sheets>
    <sheet name="Analysis" sheetId="2" r:id="rId1"/>
    <sheet name="AIFields" sheetId="9" r:id="rId2"/>
    <sheet name="AICrops" sheetId="10" r:id="rId3"/>
    <sheet name="Executive Summary" sheetId="11" r:id="rId4"/>
    <sheet name="ReportData" sheetId="12" state="hidden" r:id="rId5"/>
  </sheets>
  <definedNames>
    <definedName name="_xlnm._FilterDatabase" localSheetId="1" hidden="1">AIFields!$A$1:$K$20</definedName>
    <definedName name="_xlnm._FilterDatabase" localSheetId="0" hidden="1">Analysis!#REF!</definedName>
    <definedName name="QPResultsSummary">AIFields!$A$1:$K$22</definedName>
    <definedName name="QResultsSummary">#REF!</definedName>
    <definedName name="QSmplcropSummary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C21" i="2"/>
  <c r="D21" i="2"/>
  <c r="E21" i="2"/>
  <c r="C22" i="2"/>
  <c r="D22" i="2"/>
  <c r="E22" i="2"/>
  <c r="C23" i="2"/>
  <c r="D23" i="2"/>
  <c r="E23" i="2"/>
  <c r="A21" i="2"/>
  <c r="A22" i="2"/>
  <c r="A23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E20" i="2"/>
  <c r="D20" i="2"/>
  <c r="C20" i="2"/>
  <c r="A20" i="2"/>
  <c r="F1" i="2"/>
  <c r="A4" i="2"/>
  <c r="B4" i="2"/>
  <c r="C4" i="2"/>
  <c r="D4" i="2"/>
  <c r="E4" i="2"/>
  <c r="E24" i="2" l="1"/>
  <c r="B3" i="11" s="1"/>
  <c r="D24" i="2"/>
  <c r="C24" i="2"/>
  <c r="F23" i="2"/>
  <c r="F20" i="2"/>
  <c r="F22" i="2"/>
  <c r="F21" i="2"/>
</calcChain>
</file>

<file path=xl/sharedStrings.xml><?xml version="1.0" encoding="utf-8"?>
<sst xmlns="http://schemas.openxmlformats.org/spreadsheetml/2006/main" count="117" uniqueCount="78">
  <si>
    <t>Project Area AI SOC</t>
  </si>
  <si>
    <t>MAPE</t>
  </si>
  <si>
    <t>Field</t>
  </si>
  <si>
    <t>Area</t>
  </si>
  <si>
    <t>Gross Mean</t>
  </si>
  <si>
    <t>Net Mean</t>
  </si>
  <si>
    <t>Gross Total</t>
  </si>
  <si>
    <t>Stone Content</t>
  </si>
  <si>
    <t>Net Total</t>
  </si>
  <si>
    <t>[ha]</t>
  </si>
  <si>
    <t xml:space="preserve"> [t/ha]</t>
  </si>
  <si>
    <t>[t]</t>
  </si>
  <si>
    <t>[%]</t>
  </si>
  <si>
    <t>Totals &amp; Mean</t>
  </si>
  <si>
    <t>ProjID</t>
  </si>
  <si>
    <t>ParcelID</t>
  </si>
  <si>
    <t>Previous Crop</t>
  </si>
  <si>
    <t>Current Crop</t>
  </si>
  <si>
    <t>Project Description</t>
  </si>
  <si>
    <t>Field Name</t>
  </si>
  <si>
    <t>MAPE%</t>
  </si>
  <si>
    <t>SumOfFieldArea</t>
  </si>
  <si>
    <t>Gross Mean AI SOCS</t>
  </si>
  <si>
    <t>Gross Total AI SOC</t>
  </si>
  <si>
    <t>Net Mean AI  SOCS</t>
  </si>
  <si>
    <t>Net Total AI SOC</t>
  </si>
  <si>
    <t>FirstOfMAPE</t>
  </si>
  <si>
    <t>CustomerName</t>
  </si>
  <si>
    <t>Address</t>
  </si>
  <si>
    <t>MonitoringYear</t>
  </si>
  <si>
    <t>Filename</t>
  </si>
  <si>
    <t>SampleArea</t>
  </si>
  <si>
    <t>ProjectArea</t>
  </si>
  <si>
    <t>CO2eEmitted</t>
  </si>
  <si>
    <t>SequCO2e</t>
  </si>
  <si>
    <t>CO2eBalance</t>
  </si>
  <si>
    <t>SOCChange</t>
  </si>
  <si>
    <t>ProjectName</t>
  </si>
  <si>
    <t>Author</t>
  </si>
  <si>
    <t>CreditTermStart</t>
  </si>
  <si>
    <t>CreditTermEnd</t>
  </si>
  <si>
    <t>ProjectLocation</t>
  </si>
  <si>
    <t>ReportCompleteYr0</t>
  </si>
  <si>
    <t>ReportCompleteYr1</t>
  </si>
  <si>
    <t>GHGEmittionComp0</t>
  </si>
  <si>
    <t>GHGEmittionComp1</t>
  </si>
  <si>
    <t>Filename0</t>
  </si>
  <si>
    <t>Filename1</t>
  </si>
  <si>
    <t>FieldsData</t>
  </si>
  <si>
    <t>SampleStart</t>
  </si>
  <si>
    <t>SampleEnd</t>
  </si>
  <si>
    <t>Lab</t>
  </si>
  <si>
    <t>netSOC</t>
  </si>
  <si>
    <t>BlockArea</t>
  </si>
  <si>
    <t>NoOfCores</t>
  </si>
  <si>
    <t>Crop Type</t>
  </si>
  <si>
    <t>Gross Total SOC (t)</t>
  </si>
  <si>
    <t>105206Kerr24</t>
  </si>
  <si>
    <t>AB15</t>
  </si>
  <si>
    <t>AB8</t>
  </si>
  <si>
    <t>AB9</t>
  </si>
  <si>
    <t>Grass Ley</t>
  </si>
  <si>
    <t>Back</t>
  </si>
  <si>
    <t/>
  </si>
  <si>
    <t>Bells</t>
  </si>
  <si>
    <t>Corner Field</t>
  </si>
  <si>
    <t>Cottage Field</t>
  </si>
  <si>
    <t>Lambing Field</t>
  </si>
  <si>
    <t>Long Field</t>
  </si>
  <si>
    <t>Mid</t>
  </si>
  <si>
    <t>Paddock Field</t>
  </si>
  <si>
    <t>Park 1</t>
  </si>
  <si>
    <t>Park 2</t>
  </si>
  <si>
    <t>Railway 1</t>
  </si>
  <si>
    <t>Railway 2</t>
  </si>
  <si>
    <t>Roughens</t>
  </si>
  <si>
    <t>Top Park</t>
  </si>
  <si>
    <t>Yard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</si>
</sst>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rgb="FFC0C0C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9" fillId="0" borderId="0" xfId="0" applyFont="1"/>
    <xf numFmtId="2" fontId="18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wrapText="1"/>
    </xf>
    <xf numFmtId="2" fontId="19" fillId="0" borderId="0" xfId="0" applyNumberFormat="1" applyFont="1"/>
    <xf numFmtId="10" fontId="19" fillId="0" borderId="10" xfId="0" applyNumberFormat="1" applyFont="1" applyBorder="1" applyAlignment="1">
      <alignment horizontal="right"/>
    </xf>
    <xf numFmtId="2" fontId="18" fillId="0" borderId="10" xfId="0" applyNumberFormat="1" applyFont="1" applyBorder="1" applyAlignment="1">
      <alignment horizontal="center" vertical="center"/>
    </xf>
    <xf numFmtId="2" fontId="19" fillId="0" borderId="10" xfId="0" applyNumberFormat="1" applyFont="1" applyBorder="1" applyAlignment="1">
      <alignment horizontal="right"/>
    </xf>
    <xf numFmtId="2" fontId="20" fillId="0" borderId="10" xfId="0" applyNumberFormat="1" applyFont="1" applyBorder="1" applyAlignment="1">
      <alignment horizontal="right" vertical="center"/>
    </xf>
    <xf numFmtId="2" fontId="18" fillId="0" borderId="10" xfId="0" applyNumberFormat="1" applyFont="1" applyBorder="1" applyAlignment="1">
      <alignment horizontal="right" vertical="center"/>
    </xf>
    <xf numFmtId="2" fontId="19" fillId="0" borderId="10" xfId="0" applyNumberFormat="1" applyFont="1" applyBorder="1" applyAlignment="1">
      <alignment horizontal="right" wrapText="1"/>
    </xf>
    <xf numFmtId="0" fontId="21" fillId="33" borderId="10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right" vertical="center" wrapText="1"/>
    </xf>
    <xf numFmtId="0" fontId="22" fillId="0" borderId="14" xfId="0" applyFont="1" applyBorder="1" applyAlignment="1">
      <alignment vertical="center" wrapText="1"/>
    </xf>
    <xf numFmtId="4" fontId="22" fillId="0" borderId="14" xfId="0" applyNumberFormat="1" applyFont="1" applyBorder="1" applyAlignment="1">
      <alignment horizontal="right" vertical="center" wrapText="1"/>
    </xf>
    <xf numFmtId="0" fontId="0" fillId="0" borderId="10" xfId="0" applyBorder="1"/>
    <xf numFmtId="0" fontId="16" fillId="0" borderId="10" xfId="0" applyFont="1" applyBorder="1" applyAlignment="1">
      <alignment horizontal="center"/>
    </xf>
    <xf numFmtId="2" fontId="0" fillId="0" borderId="10" xfId="0" applyNumberFormat="1" applyBorder="1"/>
    <xf numFmtId="2" fontId="20" fillId="0" borderId="10" xfId="0" applyNumberFormat="1" applyFont="1" applyBorder="1"/>
    <xf numFmtId="0" fontId="18" fillId="0" borderId="0" xfId="0" applyFont="1" applyAlignment="1">
      <alignment vertical="center"/>
    </xf>
    <xf numFmtId="2" fontId="18" fillId="0" borderId="10" xfId="0" applyNumberFormat="1" applyFont="1" applyBorder="1" applyAlignment="1">
      <alignment horizontal="left" vertical="center"/>
    </xf>
    <xf numFmtId="0" fontId="19" fillId="0" borderId="11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wrapText="1"/>
    </xf>
    <xf numFmtId="4" fontId="24" fillId="0" borderId="14" xfId="0" applyNumberFormat="1" applyFont="1" applyBorder="1" applyAlignment="1">
      <alignment horizontal="right" vertical="center" wrapText="1"/>
    </xf>
    <xf numFmtId="0" fontId="24" fillId="0" borderId="14" xfId="0" applyFont="1" applyBorder="1" applyAlignment="1">
      <alignment vertical="center" wrapText="1"/>
    </xf>
    <xf numFmtId="0" fontId="24" fillId="0" borderId="14" xfId="0" applyFont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Summary'!$A$2:$B$2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'Executive Summary'!$A$3:$B$3</c:f>
              <c:numCache>
                <c:formatCode>0.00</c:formatCode>
                <c:ptCount val="2"/>
                <c:pt idx="0" formatCode="General">
                  <c:v>8312.7199999999993</c:v>
                </c:pt>
                <c:pt idx="1">
                  <c:v>8564.8125442649125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5-45A5-BA58-9D1FAEFB40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555680"/>
        <c:axId val="326555200"/>
      </c:barChart>
      <c:catAx>
        <c:axId val="32655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55200"/>
        <c:crosses val="autoZero"/>
        <c:auto val="1"/>
        <c:lblAlgn val="ctr"/>
        <c:lblOffset val="100"/>
        <c:noMultiLvlLbl val="0"/>
      </c:catAx>
      <c:valAx>
        <c:axId val="32655520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5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163829</xdr:colOff>
      <xdr:row>0</xdr:row>
      <xdr:rowOff>60007</xdr:rowOff>
    </xdr:from>
    <xdr:to>
      <xdr:col>13</xdr:col>
      <xdr:colOff>44822</xdr:colOff>
      <xdr:row>20</xdr:row>
      <xdr:rowOff>143435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53A25-B46A-15B5-32EE-85606F32C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eme1">
  <a:themeElements>
    <a:clrScheme name="ecometr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35AFFF"/>
      </a:accent1>
      <a:accent2>
        <a:srgbClr val="FEFEFE"/>
      </a:accent2>
      <a:accent3>
        <a:srgbClr val="FFFFFF"/>
      </a:accent3>
      <a:accent4>
        <a:srgbClr val="5377B8"/>
      </a:accent4>
      <a:accent5>
        <a:srgbClr val="8ABA67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3"/>
  <sheetViews>
    <sheetView zoomScaleNormal="100" workbookViewId="0">
      <selection activeCell="L6" sqref="L6"/>
    </sheetView>
  </sheetViews>
  <sheetFormatPr defaultColWidth="9.109375" defaultRowHeight="15.75" customHeight="1" x14ac:dyDescent="0.3"/>
  <cols>
    <col min="1" max="1" width="18.6640625" style="5" customWidth="1"/>
    <col min="2" max="2" width="17.88671875" style="5" customWidth="1"/>
    <col min="3" max="3" width="10.6640625" style="6" customWidth="1"/>
    <col min="4" max="4" width="11.44140625" style="6" customWidth="1"/>
    <col min="5" max="5" width="11.5546875" style="6" customWidth="1"/>
    <col min="6" max="6" width="11.77734375" style="6" customWidth="1"/>
    <col min="7" max="7" width="8.88671875" style="6" customWidth="1"/>
    <col min="8" max="8" width="8.5546875" style="6" customWidth="1"/>
    <col min="9" max="16384" width="9.109375" style="1"/>
  </cols>
  <sheetData>
    <row r="1" spans="1:8" ht="15.75" customHeight="1" x14ac:dyDescent="0.3">
      <c r="A1" s="26" t="s">
        <v>0</v>
      </c>
      <c r="B1" s="27"/>
      <c r="C1" s="27"/>
      <c r="D1" s="28"/>
      <c r="E1" s="20" t="s">
        <v>1</v>
      </c>
      <c r="F1" s="8">
        <f>AIFields!K2</f>
        <v>6.6177951200000003</v>
      </c>
    </row>
    <row r="2" spans="1:8" ht="46.5" customHeight="1" x14ac:dyDescent="0.3">
      <c r="A2" s="29" t="s">
        <v>2</v>
      </c>
      <c r="B2" s="29" t="s">
        <v>55</v>
      </c>
      <c r="C2" s="2" t="s">
        <v>3</v>
      </c>
      <c r="D2" s="2" t="s">
        <v>4</v>
      </c>
      <c r="E2" s="2" t="s">
        <v>6</v>
      </c>
      <c r="F2" s="2" t="s">
        <v>7</v>
      </c>
      <c r="G2" s="1"/>
      <c r="H2" s="1"/>
    </row>
    <row r="3" spans="1:8" ht="15.75" customHeight="1" x14ac:dyDescent="0.3">
      <c r="A3" s="30"/>
      <c r="B3" s="30"/>
      <c r="C3" s="2" t="s">
        <v>9</v>
      </c>
      <c r="D3" s="2" t="s">
        <v>10</v>
      </c>
      <c r="E3" s="2" t="s">
        <v>11</v>
      </c>
      <c r="F3" s="2" t="s">
        <v>12</v>
      </c>
      <c r="G3" s="1"/>
      <c r="H3" s="1"/>
    </row>
    <row r="4" spans="1:8" ht="15.75" customHeight="1" x14ac:dyDescent="0.3">
      <c r="A4" s="3" t="str">
        <f>AIFields!C2</f>
        <v>Back</v>
      </c>
      <c r="B4" s="3" t="str">
        <f>AIFields!D2</f>
        <v>AB15</v>
      </c>
      <c r="C4" s="12">
        <f>AIFields!F2</f>
        <v>17.43</v>
      </c>
      <c r="D4" s="12">
        <f>AIFields!G2</f>
        <v>44.507479057399998</v>
      </c>
      <c r="E4" s="9">
        <f>AIFields!I2</f>
        <v>775.765359970482</v>
      </c>
      <c r="F4" s="7">
        <v>0</v>
      </c>
      <c r="G4" s="1"/>
      <c r="H4" s="1"/>
    </row>
    <row r="5" spans="1:8" ht="15.75" customHeight="1" x14ac:dyDescent="0.3">
      <c r="A5" s="3" t="str">
        <f>AIFields!C3</f>
        <v>Bells</v>
      </c>
      <c r="B5" s="3" t="str">
        <f>AIFields!D3</f>
        <v>AB15</v>
      </c>
      <c r="C5" s="12">
        <f>AIFields!F3</f>
        <v>26.32</v>
      </c>
      <c r="D5" s="12">
        <f>AIFields!G3</f>
        <v>47.776713828399998</v>
      </c>
      <c r="E5" s="9">
        <f>AIFields!I3</f>
        <v>1257.4831079634901</v>
      </c>
      <c r="F5" s="7">
        <v>0</v>
      </c>
      <c r="G5" s="1"/>
      <c r="H5" s="1"/>
    </row>
    <row r="6" spans="1:8" ht="15.75" customHeight="1" x14ac:dyDescent="0.3">
      <c r="A6" s="3" t="str">
        <f>AIFields!C4</f>
        <v>Corner Field</v>
      </c>
      <c r="B6" s="3" t="str">
        <f>AIFields!D4</f>
        <v>AB15</v>
      </c>
      <c r="C6" s="12">
        <f>AIFields!F4</f>
        <v>23.76</v>
      </c>
      <c r="D6" s="12">
        <f>AIFields!G4</f>
        <v>44.545849960699996</v>
      </c>
      <c r="E6" s="9">
        <f>AIFields!I4</f>
        <v>1058.40939506623</v>
      </c>
      <c r="F6" s="7">
        <v>0</v>
      </c>
      <c r="G6" s="1"/>
      <c r="H6" s="1"/>
    </row>
    <row r="7" spans="1:8" ht="15.75" customHeight="1" x14ac:dyDescent="0.3">
      <c r="A7" s="3" t="str">
        <f>AIFields!C5</f>
        <v>Cottage Field</v>
      </c>
      <c r="B7" s="3" t="str">
        <f>AIFields!D5</f>
        <v>AB9</v>
      </c>
      <c r="C7" s="12">
        <f>AIFields!F5</f>
        <v>4.95</v>
      </c>
      <c r="D7" s="12">
        <f>AIFields!G5</f>
        <v>53.7436192531</v>
      </c>
      <c r="E7" s="9">
        <f>AIFields!I5</f>
        <v>266.03091530284502</v>
      </c>
      <c r="F7" s="7">
        <v>0</v>
      </c>
      <c r="G7" s="1"/>
      <c r="H7" s="1"/>
    </row>
    <row r="8" spans="1:8" ht="15.75" customHeight="1" x14ac:dyDescent="0.3">
      <c r="A8" s="3" t="str">
        <f>AIFields!C6</f>
        <v>Lambing Field</v>
      </c>
      <c r="B8" s="3" t="str">
        <f>AIFields!D6</f>
        <v>AB15</v>
      </c>
      <c r="C8" s="12">
        <f>AIFields!F6</f>
        <v>19.66</v>
      </c>
      <c r="D8" s="12">
        <f>AIFields!G6</f>
        <v>44.205033168100002</v>
      </c>
      <c r="E8" s="9">
        <f>AIFields!I6</f>
        <v>869.070952084846</v>
      </c>
      <c r="F8" s="7">
        <v>0</v>
      </c>
      <c r="G8" s="1"/>
      <c r="H8" s="1"/>
    </row>
    <row r="9" spans="1:8" ht="15.75" customHeight="1" x14ac:dyDescent="0.3">
      <c r="A9" s="3" t="str">
        <f>AIFields!C7</f>
        <v>Long Field</v>
      </c>
      <c r="B9" s="3" t="str">
        <f>AIFields!D7</f>
        <v>AB15</v>
      </c>
      <c r="C9" s="12">
        <f>AIFields!F7</f>
        <v>26.91</v>
      </c>
      <c r="D9" s="12">
        <f>AIFields!G7</f>
        <v>43.822142595999999</v>
      </c>
      <c r="E9" s="9">
        <f>AIFields!I7</f>
        <v>1179.2538572583601</v>
      </c>
      <c r="F9" s="7">
        <v>0</v>
      </c>
      <c r="G9" s="1"/>
      <c r="H9" s="1"/>
    </row>
    <row r="10" spans="1:8" ht="15.75" customHeight="1" x14ac:dyDescent="0.3">
      <c r="A10" s="3" t="str">
        <f>AIFields!C8</f>
        <v>Mid</v>
      </c>
      <c r="B10" s="3" t="str">
        <f>AIFields!D8</f>
        <v>AB15</v>
      </c>
      <c r="C10" s="12">
        <f>AIFields!F8</f>
        <v>24.55</v>
      </c>
      <c r="D10" s="12">
        <f>AIFields!G8</f>
        <v>47.456847193199998</v>
      </c>
      <c r="E10" s="9">
        <f>AIFields!I8</f>
        <v>1165.06559859306</v>
      </c>
      <c r="F10" s="7">
        <v>0</v>
      </c>
      <c r="G10" s="1"/>
      <c r="H10" s="1"/>
    </row>
    <row r="11" spans="1:8" ht="15.75" customHeight="1" x14ac:dyDescent="0.3">
      <c r="A11" s="3" t="str">
        <f>AIFields!C9</f>
        <v>Paddock Field</v>
      </c>
      <c r="B11" s="3" t="str">
        <f>AIFields!D9</f>
        <v>AB8</v>
      </c>
      <c r="C11" s="12">
        <f>AIFields!F9</f>
        <v>1.76</v>
      </c>
      <c r="D11" s="12">
        <f>AIFields!G9</f>
        <v>47.481316270800001</v>
      </c>
      <c r="E11" s="9">
        <f>AIFields!I9</f>
        <v>83.567116636608006</v>
      </c>
      <c r="F11" s="7">
        <v>0</v>
      </c>
      <c r="G11" s="1"/>
      <c r="H11" s="1"/>
    </row>
    <row r="12" spans="1:8" ht="15.75" customHeight="1" x14ac:dyDescent="0.3">
      <c r="A12" s="3" t="str">
        <f>AIFields!C10</f>
        <v>Park 1</v>
      </c>
      <c r="B12" s="3" t="str">
        <f>AIFields!D10</f>
        <v>AB9</v>
      </c>
      <c r="C12" s="12">
        <f>AIFields!F10</f>
        <v>4.51</v>
      </c>
      <c r="D12" s="12">
        <f>AIFields!G10</f>
        <v>50.269479057600002</v>
      </c>
      <c r="E12" s="9">
        <f>AIFields!I10</f>
        <v>226.71535054977599</v>
      </c>
      <c r="F12" s="7">
        <v>0</v>
      </c>
      <c r="G12" s="1"/>
      <c r="H12" s="1"/>
    </row>
    <row r="13" spans="1:8" ht="15.75" customHeight="1" x14ac:dyDescent="0.3">
      <c r="A13" s="3" t="str">
        <f>AIFields!C11</f>
        <v>Park 2</v>
      </c>
      <c r="B13" s="3" t="str">
        <f>AIFields!D11</f>
        <v>AB8</v>
      </c>
      <c r="C13" s="12">
        <f>AIFields!F11</f>
        <v>2.13</v>
      </c>
      <c r="D13" s="12">
        <f>AIFields!G11</f>
        <v>48.535350051800002</v>
      </c>
      <c r="E13" s="9">
        <f>AIFields!I11</f>
        <v>103.380295610334</v>
      </c>
      <c r="F13" s="7">
        <v>0</v>
      </c>
      <c r="G13" s="1"/>
      <c r="H13" s="1"/>
    </row>
    <row r="14" spans="1:8" ht="15.75" customHeight="1" x14ac:dyDescent="0.3">
      <c r="A14" s="3" t="str">
        <f>AIFields!C12</f>
        <v>Railway 1</v>
      </c>
      <c r="B14" s="3" t="str">
        <f>AIFields!D12</f>
        <v>AB8</v>
      </c>
      <c r="C14" s="12">
        <f>AIFields!F12</f>
        <v>5.87</v>
      </c>
      <c r="D14" s="12">
        <f>AIFields!G12</f>
        <v>51.716388276300002</v>
      </c>
      <c r="E14" s="9">
        <f>AIFields!I12</f>
        <v>303.57519918188098</v>
      </c>
      <c r="F14" s="7">
        <v>0</v>
      </c>
      <c r="G14" s="1"/>
      <c r="H14" s="1"/>
    </row>
    <row r="15" spans="1:8" ht="15.75" customHeight="1" x14ac:dyDescent="0.3">
      <c r="A15" s="3" t="str">
        <f>AIFields!C13</f>
        <v>Railway 2</v>
      </c>
      <c r="B15" s="3" t="str">
        <f>AIFields!D13</f>
        <v>AB9</v>
      </c>
      <c r="C15" s="12">
        <f>AIFields!F13</f>
        <v>1.47</v>
      </c>
      <c r="D15" s="12">
        <f>AIFields!G13</f>
        <v>60.015266271400002</v>
      </c>
      <c r="E15" s="9">
        <f>AIFields!I13</f>
        <v>88.222441418957999</v>
      </c>
      <c r="F15" s="7">
        <v>0</v>
      </c>
      <c r="G15" s="1"/>
      <c r="H15" s="1"/>
    </row>
    <row r="16" spans="1:8" ht="15.75" customHeight="1" x14ac:dyDescent="0.3">
      <c r="A16" s="3" t="str">
        <f>AIFields!C14</f>
        <v>Roughens</v>
      </c>
      <c r="B16" s="3" t="str">
        <f>AIFields!D14</f>
        <v>AB15</v>
      </c>
      <c r="C16" s="12">
        <f>AIFields!F14</f>
        <v>14.95</v>
      </c>
      <c r="D16" s="12">
        <f>AIFields!G14</f>
        <v>39.260508010599999</v>
      </c>
      <c r="E16" s="9">
        <f>AIFields!I14</f>
        <v>586.94459475846998</v>
      </c>
      <c r="F16" s="7">
        <v>0</v>
      </c>
      <c r="G16" s="1"/>
      <c r="H16" s="1"/>
    </row>
    <row r="17" spans="1:8" ht="15.75" customHeight="1" x14ac:dyDescent="0.3">
      <c r="A17" s="3" t="str">
        <f>AIFields!C15</f>
        <v>Top Park</v>
      </c>
      <c r="B17" s="3" t="str">
        <f>AIFields!D15</f>
        <v>AB15</v>
      </c>
      <c r="C17" s="12">
        <f>AIFields!F15</f>
        <v>11.47</v>
      </c>
      <c r="D17" s="12">
        <f>AIFields!G15</f>
        <v>48.551327277799999</v>
      </c>
      <c r="E17" s="9">
        <f>AIFields!I15</f>
        <v>556.88372387636605</v>
      </c>
      <c r="F17" s="7">
        <v>0</v>
      </c>
      <c r="G17" s="1"/>
      <c r="H17" s="1"/>
    </row>
    <row r="18" spans="1:8" ht="15.75" customHeight="1" x14ac:dyDescent="0.3">
      <c r="A18" s="3" t="str">
        <f>AIFields!C16</f>
        <v>Yard Field</v>
      </c>
      <c r="B18" s="3" t="str">
        <f>AIFields!D16</f>
        <v>Grass Ley</v>
      </c>
      <c r="C18" s="12">
        <f>AIFields!F16</f>
        <v>0.67</v>
      </c>
      <c r="D18" s="12">
        <f>AIFields!G16</f>
        <v>66.335277601800001</v>
      </c>
      <c r="E18" s="9">
        <f>AIFields!I16</f>
        <v>44.444635993205999</v>
      </c>
      <c r="F18" s="7">
        <v>0</v>
      </c>
      <c r="G18" s="1"/>
      <c r="H18" s="1"/>
    </row>
    <row r="19" spans="1:8" ht="15.75" customHeight="1" x14ac:dyDescent="0.3">
      <c r="A19" s="25" t="s">
        <v>13</v>
      </c>
      <c r="B19" s="25"/>
      <c r="C19" s="25"/>
      <c r="D19" s="25"/>
      <c r="E19" s="25"/>
      <c r="F19" s="25"/>
      <c r="G19" s="1"/>
      <c r="H19" s="1"/>
    </row>
    <row r="20" spans="1:8" ht="15.75" customHeight="1" x14ac:dyDescent="0.3">
      <c r="A20" s="23" t="str">
        <f>AICrops!C2</f>
        <v>AB15</v>
      </c>
      <c r="B20" s="24"/>
      <c r="C20" s="9">
        <f>AICrops!D2</f>
        <v>165.05</v>
      </c>
      <c r="D20" s="9">
        <f>AICrops!E2</f>
        <v>45.015737636525003</v>
      </c>
      <c r="E20" s="9">
        <f>AICrops!F2</f>
        <v>7448.8765895713004</v>
      </c>
      <c r="F20" s="9">
        <f>SUMIF($B$4:$B$18,#REF!,F$4:F$18)</f>
        <v>0</v>
      </c>
      <c r="G20" s="1"/>
      <c r="H20" s="1"/>
    </row>
    <row r="21" spans="1:8" ht="15.75" customHeight="1" x14ac:dyDescent="0.3">
      <c r="A21" s="23" t="str">
        <f>AICrops!C3</f>
        <v>AB8</v>
      </c>
      <c r="B21" s="24"/>
      <c r="C21" s="9">
        <f>AICrops!D3</f>
        <v>9.76</v>
      </c>
      <c r="D21" s="9">
        <f>AICrops!E3</f>
        <v>49.244351532966697</v>
      </c>
      <c r="E21" s="9">
        <f>AICrops!F3</f>
        <v>490.52261142882298</v>
      </c>
      <c r="F21" s="9">
        <f>SUMIF($B$4:$B$18,#REF!,F$4:F$18)</f>
        <v>0</v>
      </c>
      <c r="G21" s="1"/>
      <c r="H21" s="1"/>
    </row>
    <row r="22" spans="1:8" ht="15.75" customHeight="1" x14ac:dyDescent="0.3">
      <c r="A22" s="23" t="str">
        <f>AICrops!C4</f>
        <v>AB9</v>
      </c>
      <c r="B22" s="24"/>
      <c r="C22" s="9">
        <f>AICrops!D4</f>
        <v>10.93</v>
      </c>
      <c r="D22" s="9">
        <f>AICrops!E4</f>
        <v>54.676121527366703</v>
      </c>
      <c r="E22" s="9">
        <f>AICrops!F4</f>
        <v>580.96870727157898</v>
      </c>
      <c r="F22" s="9">
        <f>SUMIF($B$4:$B$18,#REF!,F$4:F$18)</f>
        <v>0</v>
      </c>
      <c r="G22" s="1"/>
      <c r="H22" s="1"/>
    </row>
    <row r="23" spans="1:8" ht="15.75" customHeight="1" x14ac:dyDescent="0.3">
      <c r="A23" s="23" t="str">
        <f>AICrops!C5</f>
        <v>Grass Ley</v>
      </c>
      <c r="B23" s="24"/>
      <c r="C23" s="9">
        <f>AICrops!D5</f>
        <v>0.67</v>
      </c>
      <c r="D23" s="9">
        <f>AICrops!E5</f>
        <v>66.335277601800001</v>
      </c>
      <c r="E23" s="9">
        <f>AICrops!F5</f>
        <v>44.444635993205999</v>
      </c>
      <c r="F23" s="9">
        <f>SUMIF($B$4:$B$18,#REF!,F$4:F$18)</f>
        <v>0</v>
      </c>
      <c r="G23" s="1"/>
      <c r="H23" s="1"/>
    </row>
    <row r="24" spans="1:8" ht="15.75" customHeight="1" x14ac:dyDescent="0.3">
      <c r="A24" s="22" t="s">
        <v>13</v>
      </c>
      <c r="B24" s="22"/>
      <c r="C24" s="11">
        <f>SUM(C4:C18)</f>
        <v>186.40999999999997</v>
      </c>
      <c r="D24" s="10">
        <f>AVERAGE(D4:D18)</f>
        <v>49.214839858333335</v>
      </c>
      <c r="E24" s="11">
        <f>SUM(E4:E18)</f>
        <v>8564.8125442649125</v>
      </c>
      <c r="F24" s="11">
        <f>SUM(F4:F18)</f>
        <v>0</v>
      </c>
      <c r="G24" s="1"/>
      <c r="H24" s="1"/>
    </row>
    <row r="25" spans="1:8" ht="15.75" customHeight="1" x14ac:dyDescent="0.3">
      <c r="G25" s="1"/>
      <c r="H25" s="1"/>
    </row>
    <row r="26" spans="1:8" ht="15.75" customHeight="1" x14ac:dyDescent="0.3">
      <c r="G26" s="1"/>
      <c r="H26" s="1"/>
    </row>
    <row r="27" spans="1:8" ht="15.75" customHeight="1" x14ac:dyDescent="0.3">
      <c r="G27" s="1"/>
      <c r="H27" s="1"/>
    </row>
    <row r="28" spans="1:8" ht="15.75" customHeight="1" x14ac:dyDescent="0.3">
      <c r="G28" s="1"/>
      <c r="H28" s="1"/>
    </row>
    <row r="29" spans="1:8" ht="15.75" customHeight="1" x14ac:dyDescent="0.3">
      <c r="G29" s="1"/>
      <c r="H29" s="1"/>
    </row>
    <row r="30" spans="1:8" ht="15.75" customHeight="1" x14ac:dyDescent="0.3">
      <c r="G30" s="1"/>
      <c r="H30" s="1"/>
    </row>
    <row r="31" spans="1:8" ht="15.75" customHeight="1" x14ac:dyDescent="0.3">
      <c r="G31" s="1"/>
      <c r="H31" s="1"/>
    </row>
    <row r="32" spans="1:8" ht="15.75" customHeight="1" x14ac:dyDescent="0.3">
      <c r="G32" s="1"/>
      <c r="H32" s="1"/>
    </row>
    <row r="33" spans="7:8" ht="15.75" customHeight="1" x14ac:dyDescent="0.3">
      <c r="G33" s="1"/>
      <c r="H33" s="1"/>
    </row>
    <row r="34" spans="7:8" ht="15.75" customHeight="1" x14ac:dyDescent="0.3">
      <c r="G34" s="1"/>
      <c r="H34" s="1"/>
    </row>
    <row r="35" spans="7:8" ht="15.75" customHeight="1" x14ac:dyDescent="0.3">
      <c r="G35" s="1"/>
      <c r="H35" s="1"/>
    </row>
    <row r="36" spans="7:8" ht="15.75" customHeight="1" x14ac:dyDescent="0.3">
      <c r="G36" s="1"/>
      <c r="H36" s="1"/>
    </row>
    <row r="37" spans="7:8" ht="15.75" customHeight="1" x14ac:dyDescent="0.3">
      <c r="G37" s="1"/>
      <c r="H37" s="1"/>
    </row>
    <row r="38" spans="7:8" ht="15.75" customHeight="1" x14ac:dyDescent="0.3">
      <c r="G38" s="1"/>
      <c r="H38" s="1"/>
    </row>
    <row r="39" spans="7:8" ht="15.75" customHeight="1" x14ac:dyDescent="0.3">
      <c r="G39" s="1"/>
      <c r="H39" s="1"/>
    </row>
    <row r="40" spans="7:8" ht="15.75" customHeight="1" x14ac:dyDescent="0.3">
      <c r="G40" s="1"/>
      <c r="H40" s="1"/>
    </row>
    <row r="41" spans="7:8" ht="15.75" customHeight="1" x14ac:dyDescent="0.3">
      <c r="G41" s="1"/>
      <c r="H41" s="1"/>
    </row>
    <row r="42" spans="7:8" ht="15.75" customHeight="1" x14ac:dyDescent="0.3">
      <c r="G42" s="1"/>
      <c r="H42" s="1"/>
    </row>
    <row r="43" spans="7:8" ht="15.75" customHeight="1" x14ac:dyDescent="0.3">
      <c r="G43" s="1"/>
      <c r="H43" s="1"/>
    </row>
    <row r="44" spans="7:8" ht="15.75" customHeight="1" x14ac:dyDescent="0.3">
      <c r="G44" s="1"/>
      <c r="H44" s="1"/>
    </row>
    <row r="45" spans="7:8" ht="15.75" customHeight="1" x14ac:dyDescent="0.3">
      <c r="G45" s="1"/>
      <c r="H45" s="1"/>
    </row>
    <row r="46" spans="7:8" ht="15.75" customHeight="1" x14ac:dyDescent="0.3">
      <c r="G46" s="1"/>
      <c r="H46" s="1"/>
    </row>
    <row r="47" spans="7:8" ht="15.75" customHeight="1" x14ac:dyDescent="0.3">
      <c r="G47" s="1"/>
      <c r="H47" s="1"/>
    </row>
    <row r="48" spans="7:8" ht="15.75" customHeight="1" x14ac:dyDescent="0.3">
      <c r="G48" s="1"/>
      <c r="H48" s="1"/>
    </row>
    <row r="49" spans="1:8" ht="15.75" customHeight="1" x14ac:dyDescent="0.3">
      <c r="G49" s="1"/>
      <c r="H49" s="1"/>
    </row>
    <row r="50" spans="1:8" ht="15.75" customHeight="1" x14ac:dyDescent="0.3">
      <c r="G50" s="21"/>
      <c r="H50" s="1"/>
    </row>
    <row r="51" spans="1:8" ht="15.75" customHeight="1" x14ac:dyDescent="0.3">
      <c r="G51" s="1"/>
      <c r="H51" s="1"/>
    </row>
    <row r="52" spans="1:8" ht="15.75" customHeight="1" x14ac:dyDescent="0.3">
      <c r="G52" s="1"/>
      <c r="H52" s="1"/>
    </row>
    <row r="53" spans="1:8" ht="15.75" customHeight="1" x14ac:dyDescent="0.3">
      <c r="G53" s="1"/>
      <c r="H53" s="1"/>
    </row>
    <row r="54" spans="1:8" ht="15.75" customHeight="1" x14ac:dyDescent="0.3">
      <c r="G54" s="1"/>
      <c r="H54" s="1"/>
    </row>
    <row r="55" spans="1:8" ht="15.75" customHeight="1" x14ac:dyDescent="0.3">
      <c r="G55" s="1"/>
      <c r="H55" s="1"/>
    </row>
    <row r="56" spans="1:8" ht="15.75" customHeight="1" x14ac:dyDescent="0.3">
      <c r="G56" s="1"/>
      <c r="H56" s="1"/>
    </row>
    <row r="57" spans="1:8" ht="15.75" customHeight="1" x14ac:dyDescent="0.3">
      <c r="G57" s="1"/>
      <c r="H57" s="1"/>
    </row>
    <row r="58" spans="1:8" ht="15.75" customHeight="1" x14ac:dyDescent="0.3">
      <c r="G58" s="1"/>
      <c r="H58" s="1"/>
    </row>
    <row r="59" spans="1:8" ht="15.75" customHeight="1" x14ac:dyDescent="0.3">
      <c r="G59" s="1"/>
      <c r="H59" s="1"/>
    </row>
    <row r="60" spans="1:8" ht="15.75" customHeight="1" x14ac:dyDescent="0.3">
      <c r="G60" s="1"/>
      <c r="H60" s="1"/>
    </row>
    <row r="63" spans="1:8" s="4" customFormat="1" ht="15.75" customHeight="1" x14ac:dyDescent="0.3">
      <c r="A63" s="5"/>
      <c r="B63" s="5"/>
      <c r="C63" s="6"/>
      <c r="D63" s="6"/>
      <c r="E63" s="6"/>
      <c r="F63" s="6"/>
      <c r="G63" s="6"/>
      <c r="H63" s="6"/>
    </row>
  </sheetData>
  <mergeCells count="9">
    <mergeCell ref="A19:F19"/>
    <mergeCell ref="A1:D1"/>
    <mergeCell ref="A2:A3"/>
    <mergeCell ref="B2:B3"/>
    <mergeCell ref="A24:B24"/>
    <mergeCell ref="A20:B20"/>
    <mergeCell ref="A21:B21"/>
    <mergeCell ref="A22:B22"/>
    <mergeCell ref="A23:B23"/>
  </mergeCells>
  <phoneticPr fontId="2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B72B-4D19-45E5-BC6F-4463A25B9C33}">
  <sheetPr codeName="Sheet4"/>
  <dimension ref="A1:K20"/>
  <sheetViews>
    <sheetView workbookViewId="0">
      <selection activeCell="E22" sqref="E22"/>
    </sheetView>
  </sheetViews>
  <sheetFormatPr defaultRowHeight="15" customHeight="1" x14ac:dyDescent="0.3"/>
  <cols>
    <col min="3" max="3" width="29.44140625" customWidth="1"/>
    <col min="4" max="5" width="25.6640625" customWidth="1"/>
    <col min="6" max="6" width="6.5546875" customWidth="1"/>
    <col min="7" max="9" width="11.5546875" customWidth="1"/>
  </cols>
  <sheetData>
    <row r="1" spans="1:11" ht="15" customHeight="1" x14ac:dyDescent="0.3">
      <c r="A1" s="13" t="s">
        <v>14</v>
      </c>
      <c r="B1" s="13" t="s">
        <v>15</v>
      </c>
      <c r="C1" s="13" t="s">
        <v>19</v>
      </c>
      <c r="D1" s="13" t="s">
        <v>16</v>
      </c>
      <c r="E1" s="13" t="s">
        <v>17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8</v>
      </c>
      <c r="K1" s="13" t="s">
        <v>20</v>
      </c>
    </row>
    <row r="2" spans="1:11" ht="15" customHeight="1" x14ac:dyDescent="0.3">
      <c r="A2" s="32">
        <v>206</v>
      </c>
      <c r="B2" s="34">
        <v>643</v>
      </c>
      <c r="C2" s="33" t="s">
        <v>62</v>
      </c>
      <c r="D2" s="33" t="s">
        <v>58</v>
      </c>
      <c r="E2" s="33" t="s">
        <v>63</v>
      </c>
      <c r="F2" s="34">
        <v>17.43</v>
      </c>
      <c r="G2" s="34">
        <v>44.507479057399998</v>
      </c>
      <c r="H2" s="34">
        <v>41.562065280304402</v>
      </c>
      <c r="I2" s="34">
        <v>775.765359970482</v>
      </c>
      <c r="J2" s="34">
        <v>724.42679783570497</v>
      </c>
      <c r="K2" s="34">
        <v>6.6177951200000003</v>
      </c>
    </row>
    <row r="3" spans="1:11" ht="15" customHeight="1" x14ac:dyDescent="0.3">
      <c r="A3" s="32">
        <v>206</v>
      </c>
      <c r="B3" s="34">
        <v>7202</v>
      </c>
      <c r="C3" s="33" t="s">
        <v>64</v>
      </c>
      <c r="D3" s="33" t="s">
        <v>58</v>
      </c>
      <c r="E3" s="33" t="s">
        <v>63</v>
      </c>
      <c r="F3" s="34">
        <v>26.32</v>
      </c>
      <c r="G3" s="34">
        <v>47.776713828399998</v>
      </c>
      <c r="H3" s="34">
        <v>44.614948792167802</v>
      </c>
      <c r="I3" s="34">
        <v>1257.4831079634901</v>
      </c>
      <c r="J3" s="34">
        <v>1174.2654522098601</v>
      </c>
      <c r="K3" s="34">
        <v>6.6177951200000003</v>
      </c>
    </row>
    <row r="4" spans="1:11" ht="15" customHeight="1" x14ac:dyDescent="0.3">
      <c r="A4" s="32">
        <v>206</v>
      </c>
      <c r="B4" s="34">
        <v>7970</v>
      </c>
      <c r="C4" s="33" t="s">
        <v>65</v>
      </c>
      <c r="D4" s="33" t="s">
        <v>58</v>
      </c>
      <c r="E4" s="33" t="s">
        <v>63</v>
      </c>
      <c r="F4" s="34">
        <v>23.76</v>
      </c>
      <c r="G4" s="34">
        <v>44.545849960699996</v>
      </c>
      <c r="H4" s="34">
        <v>41.597896875838302</v>
      </c>
      <c r="I4" s="34">
        <v>1058.40939506623</v>
      </c>
      <c r="J4" s="34">
        <v>988.36602976991696</v>
      </c>
      <c r="K4" s="34">
        <v>6.6177951200000003</v>
      </c>
    </row>
    <row r="5" spans="1:11" ht="15" customHeight="1" x14ac:dyDescent="0.3">
      <c r="A5" s="32">
        <v>206</v>
      </c>
      <c r="B5" s="34">
        <v>5825</v>
      </c>
      <c r="C5" s="33" t="s">
        <v>66</v>
      </c>
      <c r="D5" s="33" t="s">
        <v>60</v>
      </c>
      <c r="E5" s="33" t="s">
        <v>63</v>
      </c>
      <c r="F5" s="34">
        <v>4.95</v>
      </c>
      <c r="G5" s="34">
        <v>53.7436192531</v>
      </c>
      <c r="H5" s="34">
        <v>50.186976640856997</v>
      </c>
      <c r="I5" s="34">
        <v>266.03091530284502</v>
      </c>
      <c r="J5" s="34">
        <v>248.425534372242</v>
      </c>
      <c r="K5" s="34">
        <v>6.6177951200000003</v>
      </c>
    </row>
    <row r="6" spans="1:11" ht="15" customHeight="1" x14ac:dyDescent="0.3">
      <c r="A6" s="32">
        <v>206</v>
      </c>
      <c r="B6" s="34">
        <v>1616</v>
      </c>
      <c r="C6" s="33" t="s">
        <v>67</v>
      </c>
      <c r="D6" s="33" t="s">
        <v>58</v>
      </c>
      <c r="E6" s="33" t="s">
        <v>63</v>
      </c>
      <c r="F6" s="34">
        <v>19.66</v>
      </c>
      <c r="G6" s="34">
        <v>44.205033168100002</v>
      </c>
      <c r="H6" s="34">
        <v>41.279634640307101</v>
      </c>
      <c r="I6" s="34">
        <v>869.070952084846</v>
      </c>
      <c r="J6" s="34">
        <v>811.55761702843802</v>
      </c>
      <c r="K6" s="34">
        <v>6.6177951200000003</v>
      </c>
    </row>
    <row r="7" spans="1:11" ht="15" customHeight="1" x14ac:dyDescent="0.3">
      <c r="A7" s="32">
        <v>206</v>
      </c>
      <c r="B7" s="34">
        <v>421</v>
      </c>
      <c r="C7" s="33" t="s">
        <v>68</v>
      </c>
      <c r="D7" s="33" t="s">
        <v>58</v>
      </c>
      <c r="E7" s="33" t="s">
        <v>63</v>
      </c>
      <c r="F7" s="34">
        <v>26.91</v>
      </c>
      <c r="G7" s="34">
        <v>43.822142595999999</v>
      </c>
      <c r="H7" s="34">
        <v>40.922082981802497</v>
      </c>
      <c r="I7" s="34">
        <v>1179.2538572583601</v>
      </c>
      <c r="J7" s="34">
        <v>1101.2132530403001</v>
      </c>
      <c r="K7" s="34">
        <v>6.6177951200000003</v>
      </c>
    </row>
    <row r="8" spans="1:11" ht="15" customHeight="1" x14ac:dyDescent="0.3">
      <c r="A8" s="32">
        <v>206</v>
      </c>
      <c r="B8" s="34">
        <v>8366</v>
      </c>
      <c r="C8" s="33" t="s">
        <v>69</v>
      </c>
      <c r="D8" s="33" t="s">
        <v>58</v>
      </c>
      <c r="E8" s="33" t="s">
        <v>63</v>
      </c>
      <c r="F8" s="34">
        <v>24.55</v>
      </c>
      <c r="G8" s="34">
        <v>47.456847193199998</v>
      </c>
      <c r="H8" s="34">
        <v>44.3162502755426</v>
      </c>
      <c r="I8" s="34">
        <v>1165.06559859306</v>
      </c>
      <c r="J8" s="34">
        <v>1087.96394426457</v>
      </c>
      <c r="K8" s="34">
        <v>6.6177951200000003</v>
      </c>
    </row>
    <row r="9" spans="1:11" ht="15" customHeight="1" x14ac:dyDescent="0.3">
      <c r="A9" s="32">
        <v>206</v>
      </c>
      <c r="B9" s="34">
        <v>4307</v>
      </c>
      <c r="C9" s="33" t="s">
        <v>70</v>
      </c>
      <c r="D9" s="33" t="s">
        <v>59</v>
      </c>
      <c r="E9" s="33" t="s">
        <v>63</v>
      </c>
      <c r="F9" s="34">
        <v>1.76</v>
      </c>
      <c r="G9" s="34">
        <v>47.481316270800001</v>
      </c>
      <c r="H9" s="34">
        <v>44.339100039719199</v>
      </c>
      <c r="I9" s="34">
        <v>83.567116636608006</v>
      </c>
      <c r="J9" s="34">
        <v>78.036816069905896</v>
      </c>
      <c r="K9" s="34">
        <v>6.6177951200000003</v>
      </c>
    </row>
    <row r="10" spans="1:11" ht="15" customHeight="1" x14ac:dyDescent="0.3">
      <c r="A10" s="32">
        <v>206</v>
      </c>
      <c r="B10" s="34">
        <v>5264</v>
      </c>
      <c r="C10" s="33" t="s">
        <v>71</v>
      </c>
      <c r="D10" s="33" t="s">
        <v>60</v>
      </c>
      <c r="E10" s="33" t="s">
        <v>63</v>
      </c>
      <c r="F10" s="34">
        <v>4.51</v>
      </c>
      <c r="G10" s="34">
        <v>50.269479057600002</v>
      </c>
      <c r="H10" s="34">
        <v>46.942747925676699</v>
      </c>
      <c r="I10" s="34">
        <v>226.71535054977599</v>
      </c>
      <c r="J10" s="34">
        <v>211.71179314480199</v>
      </c>
      <c r="K10" s="34">
        <v>6.6177951200000003</v>
      </c>
    </row>
    <row r="11" spans="1:11" ht="15" customHeight="1" x14ac:dyDescent="0.3">
      <c r="A11" s="32">
        <v>206</v>
      </c>
      <c r="B11" s="34">
        <v>5265</v>
      </c>
      <c r="C11" s="33" t="s">
        <v>72</v>
      </c>
      <c r="D11" s="33" t="s">
        <v>59</v>
      </c>
      <c r="E11" s="33" t="s">
        <v>63</v>
      </c>
      <c r="F11" s="34">
        <v>2.13</v>
      </c>
      <c r="G11" s="34">
        <v>48.535350051800002</v>
      </c>
      <c r="H11" s="34">
        <v>45.3233800245971</v>
      </c>
      <c r="I11" s="34">
        <v>103.380295610334</v>
      </c>
      <c r="J11" s="34">
        <v>96.5387994523917</v>
      </c>
      <c r="K11" s="34">
        <v>6.6177951200000003</v>
      </c>
    </row>
    <row r="12" spans="1:11" ht="15" customHeight="1" x14ac:dyDescent="0.3">
      <c r="A12" s="32">
        <v>206</v>
      </c>
      <c r="B12" s="34">
        <v>4328</v>
      </c>
      <c r="C12" s="33" t="s">
        <v>73</v>
      </c>
      <c r="D12" s="33" t="s">
        <v>59</v>
      </c>
      <c r="E12" s="33" t="s">
        <v>63</v>
      </c>
      <c r="F12" s="34">
        <v>5.87</v>
      </c>
      <c r="G12" s="34">
        <v>51.716388276300002</v>
      </c>
      <c r="H12" s="34">
        <v>48.293903656710803</v>
      </c>
      <c r="I12" s="34">
        <v>303.57519918188098</v>
      </c>
      <c r="J12" s="34">
        <v>283.48521446489201</v>
      </c>
      <c r="K12" s="34">
        <v>6.6177951200000003</v>
      </c>
    </row>
    <row r="13" spans="1:11" ht="15" customHeight="1" x14ac:dyDescent="0.3">
      <c r="A13" s="32">
        <v>206</v>
      </c>
      <c r="B13" s="34">
        <v>4329</v>
      </c>
      <c r="C13" s="33" t="s">
        <v>74</v>
      </c>
      <c r="D13" s="33" t="s">
        <v>60</v>
      </c>
      <c r="E13" s="33" t="s">
        <v>63</v>
      </c>
      <c r="F13" s="34">
        <v>1.47</v>
      </c>
      <c r="G13" s="34">
        <v>60.015266271400002</v>
      </c>
      <c r="H13" s="34">
        <v>56.043578908836302</v>
      </c>
      <c r="I13" s="34">
        <v>88.222441418957999</v>
      </c>
      <c r="J13" s="34">
        <v>82.384060995989302</v>
      </c>
      <c r="K13" s="34">
        <v>6.6177951200000003</v>
      </c>
    </row>
    <row r="14" spans="1:11" ht="15" customHeight="1" x14ac:dyDescent="0.3">
      <c r="A14" s="32">
        <v>206</v>
      </c>
      <c r="B14" s="34">
        <v>8188</v>
      </c>
      <c r="C14" s="33" t="s">
        <v>75</v>
      </c>
      <c r="D14" s="33" t="s">
        <v>58</v>
      </c>
      <c r="E14" s="33" t="s">
        <v>63</v>
      </c>
      <c r="F14" s="34">
        <v>14.95</v>
      </c>
      <c r="G14" s="34">
        <v>39.260508010599999</v>
      </c>
      <c r="H14" s="34">
        <v>36.662328027387296</v>
      </c>
      <c r="I14" s="34">
        <v>586.94459475846998</v>
      </c>
      <c r="J14" s="34">
        <v>548.10180400944</v>
      </c>
      <c r="K14" s="34">
        <v>6.6177951200000003</v>
      </c>
    </row>
    <row r="15" spans="1:11" ht="15" customHeight="1" x14ac:dyDescent="0.3">
      <c r="A15" s="32">
        <v>206</v>
      </c>
      <c r="B15" s="34">
        <v>5263</v>
      </c>
      <c r="C15" s="33" t="s">
        <v>76</v>
      </c>
      <c r="D15" s="33" t="s">
        <v>58</v>
      </c>
      <c r="E15" s="33" t="s">
        <v>63</v>
      </c>
      <c r="F15" s="34">
        <v>11.47</v>
      </c>
      <c r="G15" s="34">
        <v>48.551327277799999</v>
      </c>
      <c r="H15" s="34">
        <v>45.3382999105145</v>
      </c>
      <c r="I15" s="34">
        <v>556.88372387636605</v>
      </c>
      <c r="J15" s="34">
        <v>520.03029997360204</v>
      </c>
      <c r="K15" s="34">
        <v>6.6177951200000003</v>
      </c>
    </row>
    <row r="16" spans="1:11" ht="15" customHeight="1" x14ac:dyDescent="0.3">
      <c r="A16" s="32">
        <v>206</v>
      </c>
      <c r="B16" s="34">
        <v>5501</v>
      </c>
      <c r="C16" s="33" t="s">
        <v>77</v>
      </c>
      <c r="D16" s="33" t="s">
        <v>61</v>
      </c>
      <c r="E16" s="33" t="s">
        <v>63</v>
      </c>
      <c r="F16" s="34">
        <v>0.67</v>
      </c>
      <c r="G16" s="34">
        <v>66.335277601800001</v>
      </c>
      <c r="H16" s="34">
        <v>61.945344837829602</v>
      </c>
      <c r="I16" s="34">
        <v>44.444635993205999</v>
      </c>
      <c r="J16" s="34">
        <v>41.503381041345897</v>
      </c>
      <c r="K16" s="34">
        <v>6.6177951200000003</v>
      </c>
    </row>
    <row r="17" spans="1:11" ht="15" customHeight="1" x14ac:dyDescent="0.3">
      <c r="A17" s="16"/>
      <c r="B17" s="14"/>
      <c r="C17" s="15"/>
      <c r="D17" s="15"/>
      <c r="E17" s="15"/>
      <c r="F17" s="14"/>
      <c r="G17" s="14"/>
      <c r="H17" s="14"/>
      <c r="I17" s="14"/>
      <c r="J17" s="14"/>
      <c r="K17" s="14"/>
    </row>
    <row r="18" spans="1:11" ht="15" customHeight="1" x14ac:dyDescent="0.3">
      <c r="A18" s="16"/>
      <c r="B18" s="14"/>
      <c r="C18" s="15"/>
      <c r="D18" s="15"/>
      <c r="E18" s="15"/>
      <c r="F18" s="14"/>
      <c r="G18" s="14"/>
      <c r="H18" s="14"/>
      <c r="I18" s="14"/>
      <c r="J18" s="14"/>
      <c r="K18" s="14"/>
    </row>
    <row r="19" spans="1:11" ht="15" customHeight="1" x14ac:dyDescent="0.3">
      <c r="A19" s="16"/>
      <c r="B19" s="14"/>
      <c r="C19" s="15"/>
      <c r="D19" s="15"/>
      <c r="E19" s="15"/>
      <c r="F19" s="14"/>
      <c r="G19" s="14"/>
      <c r="H19" s="14"/>
      <c r="I19" s="14"/>
      <c r="J19" s="14"/>
      <c r="K19" s="14"/>
    </row>
    <row r="20" spans="1:11" ht="15" customHeight="1" x14ac:dyDescent="0.3">
      <c r="A20" s="16"/>
      <c r="B20" s="14"/>
      <c r="C20" s="15"/>
      <c r="D20" s="15"/>
      <c r="E20" s="15"/>
      <c r="F20" s="14"/>
      <c r="G20" s="14"/>
      <c r="H20" s="14"/>
      <c r="I20" s="14"/>
      <c r="J20" s="14"/>
      <c r="K2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460A-D508-4606-BFF4-02C55D87185E}">
  <sheetPr codeName="Sheet5"/>
  <dimension ref="A1:I6"/>
  <sheetViews>
    <sheetView workbookViewId="0">
      <selection activeCell="G14" sqref="G14"/>
    </sheetView>
  </sheetViews>
  <sheetFormatPr defaultRowHeight="14.4" x14ac:dyDescent="0.3"/>
  <cols>
    <col min="2" max="3" width="17.6640625" customWidth="1"/>
    <col min="4" max="4" width="15.33203125" customWidth="1"/>
    <col min="5" max="5" width="18.5546875" customWidth="1"/>
    <col min="6" max="6" width="16.88671875" customWidth="1"/>
    <col min="7" max="7" width="17.33203125" customWidth="1"/>
    <col min="8" max="8" width="15.109375" customWidth="1"/>
    <col min="9" max="9" width="11.88671875" customWidth="1"/>
  </cols>
  <sheetData>
    <row r="1" spans="1:9" x14ac:dyDescent="0.3">
      <c r="A1" s="13" t="s">
        <v>14</v>
      </c>
      <c r="B1" s="13" t="s">
        <v>18</v>
      </c>
      <c r="C1" s="13" t="s">
        <v>16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  <c r="I1" s="13" t="s">
        <v>26</v>
      </c>
    </row>
    <row r="2" spans="1:9" x14ac:dyDescent="0.3">
      <c r="A2" s="32">
        <v>206</v>
      </c>
      <c r="B2" s="33" t="s">
        <v>57</v>
      </c>
      <c r="C2" s="33" t="s">
        <v>58</v>
      </c>
      <c r="D2" s="34">
        <v>165.05</v>
      </c>
      <c r="E2" s="34">
        <v>45.015737636525003</v>
      </c>
      <c r="F2" s="34">
        <v>7448.8765895713004</v>
      </c>
      <c r="G2" s="34">
        <v>42.036688347983002</v>
      </c>
      <c r="H2" s="34">
        <v>6955.9251981318303</v>
      </c>
      <c r="I2" s="34">
        <v>6.6177951200000001E-2</v>
      </c>
    </row>
    <row r="3" spans="1:9" x14ac:dyDescent="0.3">
      <c r="A3" s="32">
        <v>206</v>
      </c>
      <c r="B3" s="33" t="s">
        <v>57</v>
      </c>
      <c r="C3" s="33" t="s">
        <v>59</v>
      </c>
      <c r="D3" s="34">
        <v>9.76</v>
      </c>
      <c r="E3" s="34">
        <v>49.244351532966697</v>
      </c>
      <c r="F3" s="34">
        <v>490.52261142882298</v>
      </c>
      <c r="G3" s="34">
        <v>45.985461240342403</v>
      </c>
      <c r="H3" s="34">
        <v>458.06082998719</v>
      </c>
      <c r="I3" s="34">
        <v>6.6177951200000001E-2</v>
      </c>
    </row>
    <row r="4" spans="1:9" x14ac:dyDescent="0.3">
      <c r="A4" s="32">
        <v>206</v>
      </c>
      <c r="B4" s="33" t="s">
        <v>57</v>
      </c>
      <c r="C4" s="33" t="s">
        <v>60</v>
      </c>
      <c r="D4" s="34">
        <v>10.93</v>
      </c>
      <c r="E4" s="34">
        <v>54.676121527366703</v>
      </c>
      <c r="F4" s="34">
        <v>580.96870727157898</v>
      </c>
      <c r="G4" s="34">
        <v>51.0577678251233</v>
      </c>
      <c r="H4" s="34">
        <v>542.521388513033</v>
      </c>
      <c r="I4" s="34">
        <v>6.6177951200000001E-2</v>
      </c>
    </row>
    <row r="5" spans="1:9" x14ac:dyDescent="0.3">
      <c r="A5" s="32">
        <v>206</v>
      </c>
      <c r="B5" s="33" t="s">
        <v>57</v>
      </c>
      <c r="C5" s="33" t="s">
        <v>61</v>
      </c>
      <c r="D5" s="34">
        <v>0.67</v>
      </c>
      <c r="E5" s="34">
        <v>66.335277601800001</v>
      </c>
      <c r="F5" s="34">
        <v>44.444635993205999</v>
      </c>
      <c r="G5" s="34">
        <v>61.945344837829602</v>
      </c>
      <c r="H5" s="34">
        <v>41.503381041345897</v>
      </c>
      <c r="I5" s="34">
        <v>6.6177951200000001E-2</v>
      </c>
    </row>
    <row r="6" spans="1:9" x14ac:dyDescent="0.3">
      <c r="A6" s="16"/>
      <c r="B6" s="15"/>
      <c r="C6" s="15"/>
      <c r="D6" s="14"/>
      <c r="E6" s="14"/>
      <c r="F6" s="14"/>
      <c r="G6" s="14"/>
      <c r="H6" s="14"/>
      <c r="I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7EF6-99BD-4843-8234-25DC41324B2B}">
  <sheetPr codeName="Sheet6"/>
  <dimension ref="A1:B3"/>
  <sheetViews>
    <sheetView tabSelected="1" zoomScale="85" zoomScaleNormal="85" workbookViewId="0">
      <selection activeCell="R13" sqref="R13"/>
    </sheetView>
  </sheetViews>
  <sheetFormatPr defaultRowHeight="14.4" x14ac:dyDescent="0.3"/>
  <cols>
    <col min="2" max="2" width="9" customWidth="1"/>
  </cols>
  <sheetData>
    <row r="1" spans="1:2" ht="27" customHeight="1" x14ac:dyDescent="0.3">
      <c r="A1" s="31" t="s">
        <v>56</v>
      </c>
      <c r="B1" s="31"/>
    </row>
    <row r="2" spans="1:2" x14ac:dyDescent="0.3">
      <c r="A2" s="18">
        <v>2023</v>
      </c>
      <c r="B2" s="18">
        <v>2024</v>
      </c>
    </row>
    <row r="3" spans="1:2" x14ac:dyDescent="0.3">
      <c r="A3" s="17">
        <v>8312.7199999999993</v>
      </c>
      <c r="B3" s="19">
        <f>Analysis!E24</f>
        <v>8564.8125442649125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95C24-0A55-40A2-B2CE-305BD9248353}">
  <sheetPr codeName="Sheet8"/>
  <dimension ref="A1:A29"/>
  <sheetViews>
    <sheetView workbookViewId="0">
      <selection activeCell="F26" sqref="F26"/>
    </sheetView>
  </sheetViews>
  <sheetFormatPr defaultRowHeight="14.4" x14ac:dyDescent="0.3"/>
  <cols>
    <col min="1" max="1" width="27" customWidth="1"/>
    <col min="2" max="2" width="18" customWidth="1"/>
  </cols>
  <sheetData>
    <row r="1" spans="1:1" x14ac:dyDescent="0.3">
      <c r="A1" t="s">
        <v>29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30</v>
      </c>
    </row>
    <row r="5" spans="1:1" x14ac:dyDescent="0.3">
      <c r="A5" t="s">
        <v>32</v>
      </c>
    </row>
    <row r="6" spans="1:1" x14ac:dyDescent="0.3">
      <c r="A6" t="s">
        <v>31</v>
      </c>
    </row>
    <row r="7" spans="1:1" x14ac:dyDescent="0.3">
      <c r="A7" t="s">
        <v>34</v>
      </c>
    </row>
    <row r="8" spans="1:1" x14ac:dyDescent="0.3">
      <c r="A8" t="s">
        <v>33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42</v>
      </c>
    </row>
    <row r="17" spans="1:1" x14ac:dyDescent="0.3">
      <c r="A17" t="s">
        <v>43</v>
      </c>
    </row>
    <row r="18" spans="1:1" x14ac:dyDescent="0.3">
      <c r="A18" t="s">
        <v>44</v>
      </c>
    </row>
    <row r="19" spans="1:1" x14ac:dyDescent="0.3">
      <c r="A19" t="s">
        <v>45</v>
      </c>
    </row>
    <row r="20" spans="1:1" x14ac:dyDescent="0.3">
      <c r="A20" t="s">
        <v>46</v>
      </c>
    </row>
    <row r="21" spans="1:1" x14ac:dyDescent="0.3">
      <c r="A21" t="s">
        <v>47</v>
      </c>
    </row>
    <row r="22" spans="1:1" x14ac:dyDescent="0.3">
      <c r="A22" t="s">
        <v>48</v>
      </c>
    </row>
    <row r="23" spans="1:1" x14ac:dyDescent="0.3">
      <c r="A23" t="s">
        <v>49</v>
      </c>
    </row>
    <row r="24" spans="1:1" x14ac:dyDescent="0.3">
      <c r="A24" t="s">
        <v>50</v>
      </c>
    </row>
    <row r="25" spans="1:1" x14ac:dyDescent="0.3">
      <c r="A25" t="s">
        <v>51</v>
      </c>
    </row>
    <row r="26" spans="1:1" x14ac:dyDescent="0.3">
      <c r="A26" t="s">
        <v>1</v>
      </c>
    </row>
    <row r="27" spans="1:1" x14ac:dyDescent="0.3">
      <c r="A27" t="s">
        <v>52</v>
      </c>
    </row>
    <row r="28" spans="1:1" x14ac:dyDescent="0.3">
      <c r="A28" t="s">
        <v>53</v>
      </c>
    </row>
    <row r="29" spans="1:1" x14ac:dyDescent="0.3">
      <c r="A29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Props1.xml><?xml version="1.0" encoding="utf-8"?>
<ds:datastoreItem xmlns:ds="http://schemas.openxmlformats.org/officeDocument/2006/customXml" ds:itemID="{3B5FEAA5-44DE-4418-8B79-01466D5F6329}"/>
</file>

<file path=customXml/itemProps2.xml><?xml version="1.0" encoding="utf-8"?>
<ds:datastoreItem xmlns:ds="http://schemas.openxmlformats.org/officeDocument/2006/customXml" ds:itemID="{34B9BAB6-59A6-452D-8CAC-FC0A02C02E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73D8D3-CD93-4728-B60F-87C39EE3C05A}">
  <ds:schemaRefs>
    <ds:schemaRef ds:uri="http://schemas.microsoft.com/office/2006/documentManagement/types"/>
    <ds:schemaRef ds:uri="http://schemas.microsoft.com/office/2006/metadata/properties"/>
    <ds:schemaRef ds:uri="d3026fb0-012e-4ba3-96ac-2fe01d72ee34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f5b8274-46b8-4a8f-a999-a805dea4a360"/>
    <ds:schemaRef ds:uri="http://purl.org/dc/dcmitype/"/>
    <ds:schemaRef ds:uri="http://purl.org/dc/elements/1.1/"/>
    <ds:schemaRef ds:uri="fe0c9225-00e2-48f6-91c0-10da677c52f8"/>
    <ds:schemaRef ds:uri="df85ff74-bd6f-4682-8a4d-85e7a3e8e6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Analysis</vt:lpstr>
      <vt:lpstr>AIFields</vt:lpstr>
      <vt:lpstr>AICrops</vt:lpstr>
      <vt:lpstr>Executive Summary</vt:lpstr>
      <vt:lpstr>ReportData</vt:lpstr>
      <vt:lpstr>QPResultsSummary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Rojas Moreno</dc:creator>
  <cp:keywords/>
  <dc:description/>
  <cp:lastModifiedBy>Valentina Rojas Moreno</cp:lastModifiedBy>
  <cp:revision/>
  <dcterms:created xsi:type="dcterms:W3CDTF">2022-12-15T09:07:49Z</dcterms:created>
  <dcterms:modified xsi:type="dcterms:W3CDTF">2025-05-16T09:51:58Z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  <property fmtid="{D5CDD505-2E9C-101B-9397-08002B2CF9AE}" pid="4" name="Order">
    <vt:r8>13099000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