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Completed/2022 (Sampled Sep 2022 - April 2023)/63129Nees22/Lab Results/"/>
    </mc:Choice>
  </mc:AlternateContent>
  <xr:revisionPtr revIDLastSave="153" documentId="8_{7B8E9134-3B20-4CA9-9F7C-68ADC579140A}" xr6:coauthVersionLast="47" xr6:coauthVersionMax="47" xr10:uidLastSave="{E65EFCB4-9485-48BA-B320-3CAE93C60D0E}"/>
  <bookViews>
    <workbookView xWindow="28680" yWindow="-120" windowWidth="29040" windowHeight="15720" activeTab="1" xr2:uid="{756E1052-5D32-4ADB-859D-0510EF1E1061}"/>
  </bookViews>
  <sheets>
    <sheet name="Chart1" sheetId="17" r:id="rId1"/>
    <sheet name="Sample Record" sheetId="16" r:id="rId2"/>
  </sheets>
  <definedNames>
    <definedName name="_xlchart.v1.0" hidden="1">'Sample Record'!$AF$1</definedName>
    <definedName name="_xlchart.v1.1" hidden="1">'Sample Record'!$AF$2:$AF$82</definedName>
    <definedName name="_xlnm.Print_Area" localSheetId="1">'Sample Record'!$A:$T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2" i="16" l="1"/>
  <c r="AG3" i="16"/>
  <c r="AG4" i="16"/>
  <c r="AG5" i="16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" i="16"/>
  <c r="AH69" i="16"/>
  <c r="AH57" i="16"/>
  <c r="AH22" i="16"/>
  <c r="AH2" i="16"/>
  <c r="AC10" i="16"/>
  <c r="T10" i="16"/>
  <c r="AE10" i="16" s="1"/>
  <c r="AE23" i="16"/>
  <c r="AE24" i="16"/>
  <c r="AE25" i="16"/>
  <c r="AE26" i="16"/>
  <c r="AE27" i="16"/>
  <c r="AE28" i="16"/>
  <c r="AE29" i="16"/>
  <c r="AE30" i="16"/>
  <c r="AE31" i="16"/>
  <c r="AE32" i="16"/>
  <c r="AE33" i="16"/>
  <c r="AE34" i="16"/>
  <c r="AE35" i="16"/>
  <c r="AE36" i="16"/>
  <c r="AE37" i="16"/>
  <c r="AE38" i="16"/>
  <c r="AE39" i="16"/>
  <c r="AE40" i="16"/>
  <c r="AE41" i="16"/>
  <c r="AE42" i="16"/>
  <c r="AE43" i="16"/>
  <c r="AE44" i="16"/>
  <c r="AE45" i="16"/>
  <c r="AE46" i="16"/>
  <c r="AE47" i="16"/>
  <c r="AE48" i="16"/>
  <c r="AE49" i="16"/>
  <c r="AE50" i="16"/>
  <c r="AE51" i="16"/>
  <c r="AE52" i="16"/>
  <c r="AE53" i="16"/>
  <c r="AE54" i="16"/>
  <c r="AE55" i="16"/>
  <c r="AE56" i="16"/>
  <c r="AE57" i="16"/>
  <c r="AE58" i="16"/>
  <c r="AE59" i="16"/>
  <c r="AE60" i="16"/>
  <c r="AE61" i="16"/>
  <c r="AE62" i="16"/>
  <c r="AE63" i="16"/>
  <c r="AE64" i="16"/>
  <c r="AE65" i="16"/>
  <c r="AE66" i="16"/>
  <c r="AE67" i="16"/>
  <c r="AE68" i="16"/>
  <c r="AE69" i="16"/>
  <c r="AE70" i="16"/>
  <c r="AE71" i="16"/>
  <c r="AE72" i="16"/>
  <c r="AE73" i="16"/>
  <c r="AE74" i="16"/>
  <c r="AE75" i="16"/>
  <c r="AE76" i="16"/>
  <c r="AE77" i="16"/>
  <c r="AE78" i="16"/>
  <c r="AE79" i="16"/>
  <c r="AE80" i="16"/>
  <c r="AE81" i="16"/>
  <c r="AE82" i="16"/>
  <c r="AE22" i="16"/>
  <c r="AE12" i="16"/>
  <c r="AE13" i="16"/>
  <c r="AE14" i="16"/>
  <c r="AE15" i="16"/>
  <c r="AE16" i="16"/>
  <c r="AE17" i="16"/>
  <c r="AE18" i="16"/>
  <c r="AE19" i="16"/>
  <c r="AE20" i="16"/>
  <c r="AE21" i="16"/>
  <c r="AE11" i="16"/>
  <c r="AE3" i="16"/>
  <c r="AE4" i="16"/>
  <c r="AE5" i="16"/>
  <c r="AE6" i="16"/>
  <c r="AE7" i="16"/>
  <c r="AE8" i="16"/>
  <c r="AE9" i="16"/>
  <c r="AE2" i="16"/>
  <c r="S10" i="16"/>
</calcChain>
</file>

<file path=xl/sharedStrings.xml><?xml version="1.0" encoding="utf-8"?>
<sst xmlns="http://schemas.openxmlformats.org/spreadsheetml/2006/main" count="673" uniqueCount="125">
  <si>
    <t>Y631</t>
  </si>
  <si>
    <t>A421</t>
  </si>
  <si>
    <t>CustID</t>
  </si>
  <si>
    <t>EPSG</t>
  </si>
  <si>
    <t>Label</t>
  </si>
  <si>
    <t>NRMRef</t>
  </si>
  <si>
    <t>CCRef</t>
  </si>
  <si>
    <t>ProjID</t>
  </si>
  <si>
    <t>WKT</t>
  </si>
  <si>
    <t>Area</t>
  </si>
  <si>
    <t>Depth</t>
  </si>
  <si>
    <t>Date</t>
  </si>
  <si>
    <t>Received</t>
  </si>
  <si>
    <t>Reported</t>
  </si>
  <si>
    <t>BD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</si>
  <si>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</si>
  <si>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</si>
  <si>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</si>
  <si>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</si>
  <si>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</si>
  <si>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</si>
  <si>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</si>
  <si>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</si>
  <si>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</si>
  <si>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</si>
  <si>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</si>
  <si>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Crop</t>
  </si>
  <si>
    <t>Origine</t>
  </si>
  <si>
    <t>SmplNo</t>
  </si>
  <si>
    <t>SmplRef</t>
  </si>
  <si>
    <t>ParcelID</t>
  </si>
  <si>
    <t>BlockID</t>
  </si>
  <si>
    <t>FieldName</t>
  </si>
  <si>
    <t>SBI</t>
  </si>
  <si>
    <t>MULTIPOLYGON (((-0.275671197848302 53.2918609963289,-0.275703732856264 53.2910528049743,-0.275744426610166 53.2910616826782,-0.276202835050175 53.2911692797565,-0.276203994559647 53.2911695473237,-0.276213815150676 53.2911715788596,-0.276365708539844 53.291203709224,-0.276509571768314 53.2912377901611,-0.276619221668733 53.2912645463099,-0.276635853295999 53.2912688310436,-0.276732233886653 53.2912935057754,-0.277982734838463 53.2916244778214,-0.278486844518802 53.291757896172,-0.278917614856535 53.2918733375182,-0.279056954936778 53.2919098769924,-0.275671197848302 53.2918609963289)))</t>
  </si>
  <si>
    <t>P4</t>
  </si>
  <si>
    <t>MULTIPOLYGON (((-0.275703732856264 53.2910528049743,-0.275671197848302 53.2918609963289,-0.273803669985025 53.2918339933889,-0.273878278616947 53.2917404290224,-0.274210877479557 53.2913233220114,-0.274439196243739 53.2910262744117,-0.274489932771057 53.2909635382508,-0.274552884189658 53.2908856996171,-0.274587220461079 53.2908564398562,-0.274621230973722 53.2908352662084,-0.274641030142805 53.2908242253414,-0.2746544426225 53.2908190253976,-0.274669500897499 53.2908139391485,-0.27467691706167 53.2908123383202,-0.274684519361212 53.2908098412015,-0.274694338331552 53.2908081843189,-0.274712182195535 53.290834512797,-0.27498433017586 53.2908948910628,-0.275246185443536 53.2909529857403,-0.275703732856264 53.2910528049743)))</t>
  </si>
  <si>
    <t>MULTIPOLYGON (((-0.279299459324991 53.292894258812,-0.279336096742362 53.291982304406,-0.279361736818401 53.291988879933,-0.279599794125591 53.2920537138485,-0.279616809372565 53.2920559333408,-0.279617580785158 53.2920561521277,-0.279635354819115 53.2920611460243,-0.279647900171719 53.2920625872742,-0.279657014714406 53.2920635286685,-0.279766008865074 53.2920805607526,-0.280603043293827 53.2922084131058,-0.281265952762611 53.2923106899799,-0.281378147856205 53.2923279995269,-0.281434149822239 53.2923193686361,-0.281434158891509 53.2923193669688,-0.281418930635369 53.2923399140848,-0.28141392011743 53.2923526074405,-0.281397946914777 53.2924066757953,-0.281388162560942 53.2924707715167,-0.281384309251667 53.2924960178208,-0.281377875551226 53.2925142643549,-0.281356150055483 53.2925508995282,-0.281328593691693 53.2925795396831,-0.281302225447493 53.292601005102,-0.281272769439595 53.2926208977713,-0.281184387677392 53.292669697875,-0.280846838066357 53.2928331241367,-0.280677098254835 53.2929141174933,-0.279299459324991 53.292894258812)))</t>
  </si>
  <si>
    <t>MULTIPOLYGON (((-0.277853517294055 53.2928733984076,-0.277892933788489 53.2918930827041,-0.279056954936778 53.2919098769924,-0.279202387489458 53.2919480138716,-0.279336096742362 53.291982304406,-0.279299459324991 53.292894258812,-0.277853517294055 53.2928733984076)))</t>
  </si>
  <si>
    <t>MULTIPOLYGON (((-0.276417463173165 53.2928526632869,-0.276456912232982 53.291872348374,-0.277892933788489 53.2918930827041,-0.277853517294055 53.2928733984076,-0.276417463173165 53.2928526632869)))</t>
  </si>
  <si>
    <t>MULTIPOLYGON (((-0.274979489141715 53.2928051786577,-0.275017895917809 53.2918515534412,-0.276456912232982 53.291872348374,-0.276417463173165 53.2928526632869,-0.275116376499542 53.2928338620102,-0.275122067826252 53.2928279973381,-0.275021932366267 53.2928033560427,-0.274979489141715 53.2928051786577)))</t>
  </si>
  <si>
    <t>MULTIPOLYGON (((-0.275017895917809 53.2918515534412,-0.274979489141715 53.2928051786577,-0.274906050104445 53.2928083322721,-0.274833408217377 53.2928297711126,-0.274308866140431 53.2928221859837,-0.273686582696683 53.2926763440761,-0.273635121104334 53.2926800063286,-0.273512999835339 53.2926521266673,-0.273197875312991 53.292580185258,-0.273298880680687 53.2924492270368,-0.27378943109435 53.2918518498867,-0.273803669985025 53.2918339933889,-0.275017895917809 53.2918515534412)))</t>
  </si>
  <si>
    <t>MULTIPOLYGON (((-0.278200357571987 53.2937829118254,-0.278236698996834 53.2928789282256,-0.280677098254835 53.2929141174933,-0.280675663027942 53.2929148023264,-0.280272342906114 53.2931130586745,-0.279795261995558 53.2933437139617,-0.279368640619765 53.2935499702919,-0.278878027470139 53.2937919121735,-0.27887653553467 53.2937926671014,-0.278200357571987 53.2937829118254)))</t>
  </si>
  <si>
    <t>MULTIPOLYGON (((-0.276643010440693 53.2937604292514,-0.276679384449589 53.2928564464469,-0.278236698996834 53.2928789282256,-0.278200357571987 53.2937829118254,-0.276643010440693 53.2937604292514)))</t>
  </si>
  <si>
    <t>MULTIPOLYGON (((-0.275085665389866 53.2937379263519,-0.275122071982662 53.2928339443434,-0.276679384449589 53.2928564464469,-0.276643010440693 53.2937604292514,-0.275085665389866 53.2937379263519)))</t>
  </si>
  <si>
    <t>MULTIPOLYGON (((-0.275122071982662 53.2928339443434,-0.275085665389866 53.2937379263519,-0.272118668914726 53.293694998324,-0.272504037215538 53.2933696410462,-0.272545219029365 53.2933348722401,-0.272593700455436 53.2933307187191,-0.272694992172706 53.2933378477602,-0.27273789921114 53.2933377191316,-0.273008770395929 53.2933369076659,-0.273283222693076 53.2933139992107,-0.273508787002548 53.2932755486711,-0.273653143030006 53.29322306917,-0.273743777610175 53.2931595666113,-0.27377443621915 53.2931285458198,-0.273816748237957 53.2930727019346,-0.274269345807886 53.293134265445,-0.274476806086692 53.2931615373457,-0.274759523573559 53.2932015837936,-0.27493626464948 53.293019461477,-0.275078605133768 53.2928727837613,-0.275116376499542 53.2928338620102,-0.275122071982662 53.2928339443434)))</t>
  </si>
  <si>
    <t>MULTIPOLYGON (((-0.276393668701213 53.2946375924075,-0.276429094126607 53.2937573394678,-0.27887653553467 53.2937926671014,-0.278628420308375 53.2939182142044,-0.278417282620809 53.2940250495684,-0.278344264685103 53.2940619968432,-0.277473198174413 53.294481115784,-0.277170292868651 53.2946282451697,-0.277129179873764 53.2946482145892,-0.276393668701213 53.2946375924075)))</t>
  </si>
  <si>
    <t>MULTIPOLYGON (((-0.274794308938383 53.2946144789369,-0.27482976694939 53.2937342267933,-0.276429094126607 53.2937573394678,-0.276393668701213 53.2946375924075,-0.274794308938383 53.2946144789369)))</t>
  </si>
  <si>
    <t>MULTIPOLYGON (((-0.273194951362778 53.2945913440294,-0.273230441959243 53.2937110926826,-0.27482976694939 53.2937342267933,-0.274794308938383 53.2946144789369,-0.273194951362778 53.2945913440294)))</t>
  </si>
  <si>
    <t>MULTIPOLYGON (((-0.273230441959243 53.2937110926826,-0.273194951362778 53.2945913440294,-0.271113152498097 53.2945611983894,-0.271492539919935 53.2942320988177,-0.271858173379547 53.2939149249595,-0.272118668914726 53.293694998324,-0.273230441959243 53.2937110926826)))</t>
  </si>
  <si>
    <t>MULTIPOLYGON (((-0.274504573894636 53.295372855782,-0.27453527951687 53.2946107335008,-0.277129179873764 53.2946482145892,-0.27696633732535 53.294727310209,-0.276573141090693 53.2949192276681,-0.276427129230608 53.2949866997591,-0.276158270640857 53.2951201801145,-0.276052823758844 53.2951714268458,-0.275894279869693 53.2952482464225,-0.275609487903931 53.2953888285593,-0.274504573894636 53.295372855782)))</t>
  </si>
  <si>
    <t>MULTIPOLYGON (((-0.272657282578357 53.2953461282188,-0.272688020787611 53.2945840067345,-0.27453527951687 53.2946107335008,-0.274504573894636 53.295372855782,-0.272657282578357 53.2953461282188)))</t>
  </si>
  <si>
    <t>MULTIPOLYGON (((-0.272688020787611 53.2945840067345,-0.272657282578357 53.2953461282188,-0.271027280470691 53.2953225207227,-0.270927933511665 53.2952630435827,-0.270577938576987 53.2950420379053,-0.270634531978673 53.2949856829439,-0.270775955618049 53.2948536944692,-0.271113152498097 53.2945611983894,-0.272688020787611 53.2945840067345)))</t>
  </si>
  <si>
    <t>MULTIPOLYGON (((-0.271618708651431 53.2956862382478,-0.274901960794639 53.295733750742,-0.274856967534769 53.2957552917211,-0.274848260326564 53.2957591213487,-0.27464389528156 53.2958571696664,-0.2745659583325 53.2958945613308,-0.274391743466001 53.2959803219205,-0.274209216167755 53.2960712660194,-0.274182345698947 53.2960844232244,-0.274104065565241 53.2961227517573,-0.273982931113679 53.2961346973696,-0.273973869503972 53.2961398702783,-0.273900549816664 53.2961719820623,-0.273839259869349 53.2962034587449,-0.273752270694841 53.296243373619,-0.273747699287569 53.2962451054458,-0.273705962276947 53.2962656456531,-0.273360217426512 53.2964259989402,-0.273075915358358 53.2965600175536,-0.273067689633253 53.2965625415086,-0.273059690405541 53.2965561742264,-0.27305851299189 53.2965552312359,-0.273020778582369 53.296529450721,-0.27299740339883 53.2965137416359,-0.272951850747969 53.29648611291,-0.272929863026928 53.2964732089352,-0.272881348808525 53.2964483232576,-0.272851971548268 53.2964326144687,-0.27281381227172 53.2964077006472,-0.272791824631961 53.2963947966476,-0.272756367712357 53.2963772908689,-0.272738734140793 53.2963680458087,-0.272715319321885 53.2963533240731,-0.272712428749331 53.2963505843889,-0.272684513614846 53.2963321107819,-0.272325083563006 53.2961139404048,-0.272291347746352 53.29609097742,-0.272261889884814 53.2960735583531,-0.272206888776007 53.2960406251852,-0.272206654305459 53.296040486044,-0.272053712349697 53.2959484631644,-0.272004480700773 53.2959190718293,-0.271978977784686 53.2959040491134,-0.271932544697315 53.2958759595466,-0.271919166214448 53.2958691133364,-0.271868682993482 53.2958372756709,-0.271807740778443 53.2958006153981,-0.271757609717835 53.2957712100335,-0.271729201856597 53.295753810535,-0.271659608027854 53.2957121649837,-0.271618708651431 53.2956862382478)))</t>
  </si>
  <si>
    <t>MULTIPOLYGON (((-0.274901960794639 53.295733750742,-0.271618708651431 53.2956862382478,-0.2715702136619 53.2956554964793,-0.271485144626803 53.2956031993791,-0.271400539975638 53.2955505547458,-0.271321339281826 53.2955015797698,-0.271259695338232 53.2954637403691,-0.271222171666601 53.2954417101762,-0.271151066954841 53.2953966290005,-0.271027280470691 53.2953225207227,-0.275609487903931 53.2953888285593,-0.275586410502326 53.2954002202089,-0.275372400719497 53.2955017685572,-0.27536429346143 53.2955056068935,-0.27530751528233 53.2955368798419,-0.275182716294476 53.2955979865936,-0.275104392033132 53.2956363376149,-0.274986560328485 53.2956932477523,-0.274901960794639 53.295733750742)))</t>
  </si>
  <si>
    <t>MULTIPOLYGON (((-0.329444381387374 53.3441671733584,-0.332921964348364 53.3442157827012,-0.332807237845655 53.344257961531,-0.332728337570537 53.3442858064427,-0.332674909903498 53.3443037588211,-0.332636958123655 53.3443139265059,-0.332529126321652 53.3443401985772,-0.33215145023244 53.3444215835059,-0.331798011857237 53.3445015978761,-0.331578180213552 53.3445569588579,-0.331482425006187 53.3445816907148,-0.331271351969885 53.3446435562012,-0.33106165210322 53.3447164079045,-0.330842868724824 53.3447948856343,-0.330646231021201 53.3448794260023,-0.330442514121808 53.3449682719892,-0.330319547750128 53.3450242651202,-0.330261115786653 53.3449733296392,-0.33025608633895 53.3449689442593,-0.330246182833822 53.3449603105171,-0.3302232683131 53.3449377585932,-0.3302230947412 53.3449375871599,-0.329872450273369 53.3445924955725,-0.329872276879725 53.3445923196463,-0.329821891508811 53.3445427397756,-0.329500108534277 53.344220002667,-0.329444381387374 53.3441671733584)))</t>
  </si>
  <si>
    <t>L3</t>
  </si>
  <si>
    <t>MULTIPOLYGON (((-0.330308930639262 53.3431966872846,-0.330270576977397 53.3441787310332,-0.329444381387374 53.3441671733584,-0.329427826026851 53.3441514788549,-0.329269037006381 53.3439978726449,-0.329148649508716 53.3438918178237,-0.329101010074913 53.3438462018543,-0.329039091026351 53.3437815958021,-0.328934836027519 53.3436894317422,-0.328595815908313 53.3433891074971,-0.328345483626984 53.3431692116432,-0.330308930639262 53.3431966872846)))</t>
  </si>
  <si>
    <t>MULTIPOLYGON (((-0.331694064881978 53.343216050811,-0.331655742635914 53.3441980953108,-0.330270576977397 53.3441787310332,-0.330308930639262 53.3431966872846,-0.331694064881978 53.343216050811)))</t>
  </si>
  <si>
    <t>MULTIPOLYGON (((-0.333082119043471 53.3432354390127,-0.333045655286119 53.3441706282334,-0.332990276953358 53.3441906676993,-0.332921964348364 53.3442157827012,-0.331655742635914 53.3441980953108,-0.331694064881978 53.343216050811,-0.333082119043471 53.3432354390127)))</t>
  </si>
  <si>
    <t>MULTIPOLYGON (((-0.333045655286119 53.3441706282334,-0.333082119043471 53.3432354390127,-0.335923114449769 53.3432750708033,-0.335922210422737 53.3432778555377,-0.335920604145436 53.3432805300491,-0.335918854481167 53.3432868883242,-0.335917293422108 53.3432922603649,-0.335914045893069 53.3432985078664,-0.335905584826703 53.3433152006094,-0.335890751583777 53.3433335125733,-0.335887926725962 53.343336619583,-0.33586530361722 53.3433582390412,-0.335848431637587 53.3433710388889,-0.33583041801311 53.3433822945787,-0.335817387115506 53.3433890349892,-0.33579447843024 53.3433986942008,-0.335767662688783 53.3434083888446,-0.335703758926394 53.3434292530644,-0.335504090870309 53.3434801379276,-0.335238528527254 53.3435451164304,-0.334897515206127 53.3436227063463,-0.334808311146411 53.3436413293595,-0.33465673920239 53.3436760728301,-0.334505425289924 53.3437118984683,-0.334425305747616 53.3437325357554,-0.334271938538086 53.3437670739004,-0.334180823742068 53.3437884565837,-0.334176731520662 53.3437893883488,-0.334071234116119 53.3438174923117,-0.333799081642171 53.3438934327917,-0.333651678570272 53.3439445044656,-0.333517445741342 53.3439929729977,-0.33326941903028 53.3440896555695,-0.333045655286119 53.3441706282334)))</t>
  </si>
  <si>
    <t>MULTIPOLYGON (((-0.329447788521793 53.3423136798626,-0.329413775641396 53.3431841648773,-0.328345483626984 53.3431692116432,-0.328232451751136 53.3430699217518,-0.328077051956333 53.3429258868096,-0.328043957206972 53.342894058379,-0.328043783300447 53.3428938959274,-0.32776072888694 53.3426216510117,-0.327483951197369 53.3423702891398,-0.327392775211728 53.3422849070728,-0.329447788521793 53.3423136798626)))</t>
  </si>
  <si>
    <t>MULTIPOLYGON (((-0.331010404439727 53.3423355347567,-0.330976422973315 53.343206020523,-0.329413775641396 53.3431841648773,-0.329447788521793 53.3423136798626,-0.331010404439727 53.3423355347567)))</t>
  </si>
  <si>
    <t>MULTIPOLYGON (((-0.332573022383117 53.3423573691979,-0.332539072330832 53.343227855715,-0.330976422973315 53.343206020523,-0.331010404439727 53.3423355347567,-0.332573022383117 53.3423573691979)))</t>
  </si>
  <si>
    <t>MULTIPOLYGON (((-0.334135642346079 53.342379183186,-0.334101723708062 53.3432496704533,-0.332539072330832 53.343227855715,-0.332573022383117 53.3423573691979,-0.334135642346079 53.342379183186)))</t>
  </si>
  <si>
    <t>MULTIPOLYGON (((-0.334101723708062 53.3432496704533,-0.334135642346079 53.342379183186,-0.335343562234217 53.3423960313779,-0.335507673994123 53.3426087270863,-0.335509638827501 53.3426111187605,-0.33569987266043 53.3428406806295,-0.33570007371986 53.3428409180624,-0.335790004102904 53.3429502273881,-0.335875116976364 53.3430559608283,-0.33591633446796 53.3431084973702,-0.335876795608668 53.343120892297,-0.335921585818726 53.3432167171182,-0.335922947288031 53.3432203319595,-0.335923470892492 53.3432223169833,-0.335926001240629 53.343238353852,-0.335926535092669 53.3432439348842,-0.335926003515476 53.3432575917643,-0.335923575880657 53.343273649427,-0.335923114449769 53.3432750708033,-0.334101723708062 53.3432496704533)))</t>
  </si>
  <si>
    <t>MULTIPOLYGON (((-0.328563367881024 53.3414530609452,-0.328530224673036 53.3423008371834,-0.327392775211728 53.3422849070728,-0.327180085131194 53.3420857311476,-0.327179552334472 53.3420852202605,-0.326809490975917 53.3417292250023,-0.326503715968238 53.3414242075659,-0.328563367881024 53.3414530609452)))</t>
  </si>
  <si>
    <t>MULTIPOLYGON (((-0.330167807018658 53.3414755126449,-0.33013469546137 53.3423232895309,-0.328530224673036 53.3423008371834,-0.328563367881024 53.3414530609452,-0.330167807018658 53.3414755126449)))</t>
  </si>
  <si>
    <t>MULTIPOLYGON (((-0.33181340061988 53.3414985177989,-0.331780321508555 53.3423462953581,-0.33013469546137 53.3423232895309,-0.330167807018658 53.3414755126449,-0.330555368585666 53.3414809327438,-0.33055705906478 53.3414887144496,-0.33056542551987 53.3415014169778,-0.33058542269831 53.3415278565409,-0.330596476011992 53.3415486873394,-0.330612951421816 53.3415883823613,-0.330615660045113 53.341592106,-0.330617059601713 53.3415947325738,-0.330619953437613 53.3415975598354,-0.330621352994648 53.3416001864092,-0.330627147684551 53.3416056612368,-0.330630076603937 53.3416075900219,-0.330635724674526 53.3416129729022,-0.330645988175243 53.3416194091822,-0.330650421901034 53.3416212691113,-0.330657752975658 53.3416258664533,-0.330666616921858 53.3416296761581,-0.330671085730878 53.3416306376101,-0.330672702076125 53.3416315591775,-0.33067717088548 53.3416325206293,-0.330681604613996 53.3416343805573,-0.330695011044177 53.3416372649112,-0.330700981151728 53.3416382473537,-0.330709918773348 53.341640170255,-0.33071588888166 53.3416411526968,-0.330726401470096 53.3416412097879,-0.330730720151979 53.3416421691386,-0.330741229232732 53.3416423160761,-0.330771430574109 53.3416382435105,-0.330803480483954 53.3416252970116,-0.330808054530853 53.3416235630294,-0.330811092202476 53.3416227065333,-0.330815666248794 53.3416209725508,-0.330818738998236 53.3416192175782,-0.330822000462961 53.3416164763804,-0.330831215200997 53.3416113013093,-0.330834323026921 53.3416086478599,-0.330837395774714 53.3416068928867,-0.330840503599934 53.3416042394371,-0.330842113636621 53.3416014751501,-0.330845182875823 53.3415998100243,-0.330856578700293 53.3415810910465,-0.330856687439942 53.3415783057697,-0.330858290459127 53.3415757211777,-0.330858820125636 53.3415621541841,-0.330857574192343 53.3415594398644,-0.330857679424116 53.3415567444352,-0.330845111360152 53.3415323865138,-0.330821757146112 53.3415149796253,-0.330792257467882 53.3415010826765,-0.330745328208154 53.3414835888935,-0.33181340061988 53.3414985177989)))</t>
  </si>
  <si>
    <t>MULTIPOLYGON (((-0.33341784410648 53.3415209258011,-0.333384796613617 53.3423687040255,-0.331780321508555 53.3423462953581,-0.33181340061988 53.3414985177989,-0.33341784410648 53.3415209258011)))</t>
  </si>
  <si>
    <t>MULTIPOLYGON (((-0.333384796613617 53.3423687040255,-0.33341784410648 53.3415209258011,-0.334659297598184 53.3415382493832,-0.334832898883843 53.3417488956082,-0.334834818176903 53.3417512974457,-0.335051529121275 53.3420209153673,-0.33505341803225 53.3420233266671,-0.335333644316013 53.3423831772669,-0.335343562234217 53.3423960313779,-0.333384796613617 53.3423687040255)))</t>
  </si>
  <si>
    <t>MULTIPOLYGON (((-0.327734736854996 53.3406135805246,-0.327702373548004 53.3414410037247,-0.326503715968238 53.3414242075659,-0.326458770960526 53.3413793734821,-0.326256825343758 53.3411776017859,-0.326254078471461 53.3411748654733,-0.326242730503395 53.3411639196634,-0.326242397485229 53.3411636012548,-0.325886282305413 53.3408201889088,-0.325633289393728 53.3405841262542,-0.327734736854996 53.3406135805246)))</t>
  </si>
  <si>
    <t>MULTIPOLYGON (((-0.329378608884366 53.340636595501,-0.329346277290025 53.3414640192773,-0.327702373548004 53.3414410037247,-0.327734736854996 53.3406135805246,-0.329378608884366 53.340636595501)))</t>
  </si>
  <si>
    <t>MULTIPOLYGON (((-0.331026836292765 53.3406596486874,-0.330994536495205 53.3414870730406,-0.330745328208154 53.3414835888935,-0.330727112684174 53.3414767986982,-0.330679747701144 53.3414626519257,-0.330648501244471 53.3414550232842,-0.330627706977057 53.3414528446914,-0.330607969906526 53.3414543666419,-0.330582272552599 53.3414585021457,-0.330565372439196 53.3414681544611,-0.330554512567095 53.3414769922712,-0.330555368585666 53.3414809327438,-0.329346277290025 53.3414640192773,-0.329378608884366 53.340636595501,-0.331026836292765 53.3406596486874)))</t>
  </si>
  <si>
    <t>MULTIPOLYGON (((-0.332670712851346 53.3406826183126,-0.332638444766737 53.3415100432407,-0.330994536495205 53.3414870730406,-0.331026836292765 53.3406596486874,-0.332670712851346 53.3406826183126)))</t>
  </si>
  <si>
    <t>MULTIPOLYGON (((-0.332638444766737 53.3415100432407,-0.332670712851346 53.3406826183126,-0.333909206183439 53.3406999086043,-0.333995414545762 53.3407826912839,-0.33399760789919 53.3407849962763,-0.334092979499109 53.3408847351654,-0.334095172827922 53.3408870410546,-0.334175358980971 53.3409717377288,-0.334275486284097 53.3410851441765,-0.334285686777548 53.3410970638531,-0.334287712606205 53.3410994285311,-0.334449580138256 53.3412894817643,-0.334566831880899 53.3414260513805,-0.334659297598184 53.3415382493832,-0.332638444766737 53.3415100432407)))</t>
  </si>
  <si>
    <t>MULTIPOLYGON (((-0.32681505686959 53.3397615892788,-0.326782237624265 53.3406002347137,-0.325633289393728 53.3405841262542,-0.324720304575634 53.339732212335,-0.32681505686959 53.3397615892788)))</t>
  </si>
  <si>
    <t>MULTIPOLYGON (((-0.328436898193745 53.3397843087961,-0.328404110659405 53.3406229548076,-0.326782237624265 53.3406002347137,-0.32681505686959 53.3397615892788,-0.328436898193745 53.3397843087961)))</t>
  </si>
  <si>
    <t>MULTIPOLYGON (((-0.330058741715529 53.3398070062705,-0.330025985892323 53.3406456528578,-0.328404110659405 53.3406229548076,-0.328436898193745 53.3397843087961,-0.330058741715529 53.3398070062705)))</t>
  </si>
  <si>
    <t>MULTIPOLYGON (((-0.331680587434726 53.3398296817019,-0.331647863322801 53.3406683288644,-0.330025985892323 53.3406456528578,-0.330058741715529 53.3398070062705,-0.331680587434726 53.3398296817019)))</t>
  </si>
  <si>
    <t>MULTIPOLYGON (((-0.331647863322801 53.3406683288644,-0.331680587434726 53.3398296817019,-0.332802886187222 53.3398453599197,-0.332580106931469 53.339936423521,-0.332754105337553 53.3401082180222,-0.333001386623313 53.3400185373057,-0.333087226684937 53.3400975863911,-0.333114615960474 53.3401232288739,-0.333149472902276 53.3401499662753,-0.333199180720077 53.3401849127103,-0.33325460356518 53.3402235302832,-0.333313060358326 53.3402613856102,-0.333507461065908 53.3403877081958,-0.333551823506365 53.3403709764917,-0.333609923267026 53.340421858101,-0.33370757223538 53.3405062855504,-0.333909206183439 53.3406999086043,-0.331647863322801 53.3406683288644)))</t>
  </si>
  <si>
    <t>MULTIPOLYGON (((-0.326111597506299 53.3389054211554,-0.326078483746653 53.3397512637265,-0.324720304575634 53.339732212335,-0.324162343358428 53.3392115539638,-0.324128494034577 53.3391799636955,-0.324126363643913 53.3391779839265,-0.324125602128477 53.3391771021358,-0.324119411190071 53.3391698864071,-0.324118401548291 53.3391688204405,-0.324118703007716 53.3391685253159,-0.324409272742661 53.3390901748731,-0.324913895759597 53.3389465138841,-0.325104990083622 53.3388913028836,-0.326111597506299 53.3389054211554)))</t>
  </si>
  <si>
    <t>MULTIPOLYGON (((-0.327719605881823 53.3389279567944,-0.3276865238315 53.3397737999423,-0.326078483746653 53.3397512637265,-0.326111597506299 53.3389054211554,-0.327719605881823 53.3389279567944)))</t>
  </si>
  <si>
    <t>MULTIPOLYGON (((-0.329327616419741 53.3389504707647,-0.329294566078886 53.3397963144888,-0.3276865238315 53.3397737999423,-0.327719605881823 53.3389279567944,-0.329327616419741 53.3389504707647)))</t>
  </si>
  <si>
    <t>MULTIPOLYGON (((-0.330935629120113 53.3389729630664,-0.330902610488873 53.3398188073659,-0.329294566078886 53.3397963144888,-0.329327616419741 53.3389504707647,-0.330935629120113 53.3389729630664)))</t>
  </si>
  <si>
    <t>MULTIPOLYGON (((-0.330902610488873 53.3398188073659,-0.330935629120113 53.3389729630664,-0.332155192747643 53.3389900074131,-0.33235363640104 53.3392152536593,-0.332528380758033 53.3394178935265,-0.332658634207833 53.3395712803485,-0.332714523909962 53.3396325604675,-0.332843908137992 53.3397697508332,-0.332850780168538 53.3397861189941,-0.332852928346174 53.3398042182221,-0.33284914158153 53.3398204384355,-0.332838027447051 53.3398319679984,-0.332817201270324 53.3398383295177,-0.332812117496516 53.3398415864976,-0.332802886187222 53.3398453599197,-0.330902610488873 53.3398188073659)))</t>
  </si>
  <si>
    <t>MULTIPOLYGON (((-0.328145021976398 53.3380292442652,-0.328109668539008 53.3389334201072,-0.325104990083622 53.3388913028836,-0.325353475952374 53.3388195096372,-0.325739349024634 53.3387098809788,-0.326055208674173 53.3386230722675,-0.326167731971743 53.3385898042017,-0.326231488486831 53.338574860991,-0.326358084737889 53.3385373104981,-0.326799853361673 53.3384126195491,-0.327036682177677 53.3383445866473,-0.32733086040814 53.338258179151,-0.327439657768146 53.33822718962,-0.327476666884116 53.3382184757254,-0.327652792161196 53.3381641076754,-0.327762295195157 53.3381348025169,-0.327895889009872 53.3380961905638,-0.327947155105422 53.3380790578109,-0.327951307936478 53.3380767193277,-0.327953895155612 53.3380784276449,-0.328103178567424 53.3380403111951,-0.328145021976398 53.3380292442652)))</t>
  </si>
  <si>
    <t>MULTIPOLYGON (((-0.329477289626586 53.3378979897018,-0.329436110864498 53.3389519890285,-0.328109668539008 53.3389334201072,-0.328145021976398 53.3380292442652,-0.328181606473287 53.338019568219,-0.328181816037316 53.3380197401597,-0.328182274331662 53.338019235964,-0.328359758563676 53.3379689816135,-0.328419873670591 53.3379522422607,-0.328559622890493 53.3379143234658,-0.32858929643128 53.3379065924774,-0.328608650283743 53.3378998101445,-0.328655425786119 53.3378864862198,-0.329477289626586 53.3378979897018)))</t>
  </si>
  <si>
    <t>MULTIPOLYGON (((-0.330767702471308 53.3379160399438,-0.330726555417032 53.3389700398461,-0.329436110864498 53.3389519890285,-0.329477289626586 53.3378979897018,-0.330767702471308 53.3379160399438)))</t>
  </si>
  <si>
    <t>MULTIPOLYGON (((-0.330726555417032 53.3389700398461,-0.330767702471308 53.3379160399438,-0.331989812034437 53.3379331218783,-0.332030245656075 53.3379870637447,-0.332236562929764 53.3382696130533,-0.332170526757358 53.3383029429406,-0.332082096677789 53.3383481831739,-0.331903225327637 53.3384363007287,-0.331901387046034 53.3384487706842,-0.331908415678469 53.3384649604042,-0.331921637740647 53.3384802477992,-0.331954406203102 53.3384988647932,-0.331937071149442 53.338531255081,-0.331929803454664 53.3385481440087,-0.331915110919661 53.3386052002152,-0.331920948972096 53.3386442088576,-0.331928355601757 53.3386776613264,-0.33194498292611 53.3387288677773,-0.331973194153367 53.3387796041049,-0.331980782545714 53.3387891474866,-0.332022386078676 53.3388392618497,-0.332155192747643 53.3389900074131,-0.330726555417032 53.3389700398461)))</t>
  </si>
  <si>
    <t>MULTIPOLYGON (((-0.331989812034437 53.3379331218783,-0.328655425786119 53.3378864862198,-0.328737138290435 53.3378632104836,-0.328884845823712 53.3378232577886,-0.328944245937548 53.3378065090654,-0.329142777081118 53.3377492602444,-0.329296378222351 53.3377051014589,-0.329621783661527 53.33760932037,-0.329883391638121 53.3375327980489,-0.329977626978328 53.337504530448,-0.330032355594299 53.3374866532598,-0.330076898802017 53.3374763269335,-0.3301512024064 53.3374523372483,-0.330290282725254 53.3374131188765,-0.330707487853509 53.3372962264226,-0.330865898070178 53.3372511808838,-0.331079665538772 53.337190901138,-0.331185981649064 53.337159155274,-0.331190090206815 53.3371620237792,-0.331200904071331 53.3371697271723,-0.331235405245186 53.3371939439976,-0.331240511974184 53.3371977910462,-0.331286792499248 53.3371780314226,-0.3312530734008 53.3371530173729,-0.331243585977525 53.3371459627027,-0.331238962323192 53.3371424379445,-0.331348587765021 53.3371090175745,-0.331385679351352 53.3371380584645,-0.331442754782176 53.337218864314,-0.331510086557263 53.3373024231828,-0.331583950832123 53.3373840910845,-0.331631352528535 53.3374472335724,-0.331676157592216 53.3375076392541,-0.331726777353961 53.3375768497528,-0.331861636243486 53.3377621235688,-0.331989812034437 53.3379331218783)))</t>
  </si>
  <si>
    <t>MULTIPOLYGON (((-0.268833779678043 53.2939747927683,-0.271394969963214 53.2940119242673,-0.271574280017325 53.2940792307852,-0.271544084661052 53.29410563157,-0.271154661510751 53.2944526601596,-0.270830292725019 53.2947342863423,-0.270841012461349 53.2947437928903,-0.270525128073179 53.2950121436853,-0.269798410146875 53.2945709054771,-0.269226301625553 53.2942138952765,-0.268833779678043 53.2939747927683)))</t>
  </si>
  <si>
    <t>P5</t>
  </si>
  <si>
    <t>MULTIPOLYGON (((-0.269770622652286 53.2931356708258,-0.269736194971703 53.2939878820422,-0.268833779678043 53.2939747927683,-0.268717274607541 53.2939038236164,-0.268357150639139 53.2936889562744,-0.268283044630717 53.2936403227967,-0.268282033511861 53.2936397246818,-0.268209392210415 53.2935964343544,-0.268190164626564 53.2936032868819,-0.267343023450734 53.2931004428389,-0.269770622652286 53.2931356708258)))</t>
  </si>
  <si>
    <t>MULTIPOLYGON (((-0.269736194971703 53.2939878820422,-0.269770622652286 53.2931356708258,-0.271556346566469 53.29316155174,-0.271488469531517 53.2932938576797,-0.271469802092186 53.2933706820912,-0.271470651060494 53.2936424977706,-0.271488060988567 53.293659146495,-0.271265967367309 53.2938434402834,-0.271194824345083 53.2939367962688,-0.271394969963214 53.2940119242673,-0.269736194971703 53.2939878820422)))</t>
  </si>
  <si>
    <t>MULTIPOLYGON (((-0.269490704863564 53.292099859901,-0.269449043166865 53.2931310072553,-0.267343023450734 53.2931004428389,-0.267181531178265 53.2930045826633,-0.267179264217713 53.2930023903847,-0.267252384469486 53.2929729669808,-0.267604510216318 53.2928325353227,-0.268577030929778 53.292362283646,-0.269102442308255 53.2920942282237,-0.269490704863564 53.292099859901)))</t>
  </si>
  <si>
    <t>MULTIPOLYGON (((-0.270865951927762 53.2921197974304,-0.270824323052404 53.293150945589,-0.269449043166865 53.2931310072553,-0.269490704863564 53.292099859901,-0.270865951927762 53.2921197974304)))</t>
  </si>
  <si>
    <t>MULTIPOLYGON (((-0.270824323052404 53.293150945589,-0.270865951927762 53.2921197974304,-0.273447612419207 53.2921571819684,-0.273294243765002 53.2923483841407,-0.273161739788158 53.292512597401,-0.273149704233984 53.2925204699987,-0.27313954731454 53.29252711121,-0.273108706324812 53.2925366426516,-0.273087213775248 53.2925412759894,-0.273057242733189 53.2925440785483,-0.273041375933991 53.2925505912629,-0.273002743838569 53.2925523694722,-0.272954984928501 53.2925497903554,-0.272842629729924 53.2925380055775,-0.272510629777214 53.2924923856615,-0.27196846354087 53.2924048853052,-0.271923812659204 53.2923996538417,-0.271897852781557 53.2923997273594,-0.271861516219131 53.292407831314,-0.271845063984448 53.2924139757985,-0.271830210469881 53.2924214020097,-0.271812754703106 53.2924338248245,-0.271802751727874 53.2924437485355,-0.271795118986619 53.2924544257607,-0.271790017308827 53.2924655891358,-0.271782495957906 53.2925218463278,-0.271759680013839 53.2926410803792,-0.271668102192976 53.2928654881324,-0.271609211824626 53.2930234850964,-0.271572338957221 53.2931303792394,-0.271556346566469 53.29316155174,-0.270824323052404 53.293150945589)))</t>
  </si>
  <si>
    <t>MULTIPOLYGON (((-0.270929938488968 53.2911496312881,-0.270890760609296 53.2921201569465,-0.269102442308255 53.2920942282237,-0.26929338503637 53.291996811267,-0.269468048397404 53.2916398408654,-0.269452058736093 53.2916245078618,-0.269429632040613 53.2916166131652,-0.269562520495946 53.2913500550365,-0.269672988625434 53.2911314099247,-0.270929938488968 53.2911496312881)))</t>
  </si>
  <si>
    <t>MULTIPOLYGON (((-0.272391058009467 53.2911707957287,-0.272351912928644 53.2921413221837,-0.270890760609296 53.2921201569465,-0.270929938488968 53.2911496312881,-0.272391058009467 53.2911707957287)))</t>
  </si>
  <si>
    <t>MULTIPOLYGON (((-0.272351912928644 53.2921413221837,-0.272391058009467 53.2911707957287,-0.27421762903246 53.2911972285641,-0.274145304008689 53.2912873923934,-0.274145193578328 53.2912875265423,-0.273545429086437 53.2920352439281,-0.273544844969157 53.2920359627522,-0.273447612419207 53.2921571819684,-0.272351912928644 53.2921413221837)))</t>
  </si>
  <si>
    <t>MULTIPOLYGON (((-0.272118398443121 53.2905408307465,-0.272093160468721 53.2911664821117,-0.269672988625434 53.2911314099247,-0.269680969829242 53.2911156129577,-0.269769730199776 53.2909416849265,-0.26985911574295 53.2907845031392,-0.269875308271658 53.2907560289449,-0.269878775560133 53.2907489341123,-0.269922827390304 53.2906587711862,-0.26994411356287 53.2906264314997,-0.269990578118635 53.2905552774451,-0.270021317169005 53.2905104438065,-0.272118398443121 53.2905408307465)))</t>
  </si>
  <si>
    <t>MULTIPOLYGON (((-0.272093160468721 53.2911664821117,-0.272118398443121 53.2905408307465,-0.273880791558482 53.2905663394728,-0.274232310466352 53.2906498444684,-0.274590835444861 53.2907236757047,-0.27460698777514 53.2907269990745,-0.274569075252645 53.2907552793771,-0.274566715239955 53.2907587054294,-0.274574441125058 53.2907677035834,-0.274580114844725 53.2907795622868,-0.274576388465452 53.2907975779292,-0.274563479122196 53.2908163597607,-0.27454007347029 53.2908349898045,-0.274510376751718 53.2908608106177,-0.274469420006002 53.2909054370964,-0.274414843012971 53.2909738990583,-0.274398837115374 53.2909704024792,-0.274349669735547 53.29103261921,-0.27421762903246 53.2911972285641,-0.272093160468721 53.2911664821117)))</t>
  </si>
  <si>
    <t>MULTIPOLYGON (((-0.273880791558482 53.2905663394728,-0.270021317169005 53.2905104438065,-0.27004954438142 53.2904692736525,-0.270081508872115 53.2904226520108,-0.270179713487732 53.2902794169944,-0.270264897452482 53.2901489681458,-0.270288480569057 53.2901046899528,-0.270312371063493 53.2900527982374,-0.27033894933526 53.2899964658526,-0.270350109593493 53.2899728118028,-0.270371920637344 53.2899274192374,-0.270379690811494 53.2899115147111,-0.270395679171157 53.2898787906946,-0.270411343000057 53.2898507222945,-0.270417579478348 53.2898312220801,-0.270420096392121 53.2898138470803,-0.270423258198178 53.2897806485569,-0.270440805558378 53.2897817695341,-0.270440848654611 53.2897813710108,-0.270675400773751 53.2898314341826,-0.270692157299313 53.2898349385488,-0.27069656423206 53.2898334390902,-0.271439913611564 53.2900095340455,-0.273065336873427 53.290370996898,-0.273598038902096 53.2904991692477,-0.273880791558482 53.2905663394728)))</t>
  </si>
  <si>
    <t>MULTIPOLYGON (((-0.268219411268528 53.2938093835701,-0.265153874277006 53.2937648476454,-0.265374054072227 53.2936728167476,-0.265375884291857 53.2936700088685,-0.26586001304812 53.2934673699585,-0.265861280393632 53.2934670863214,-0.265860805512538 53.2934662523561,-0.266213678880592 53.2933239109729,-0.266217843048302 53.2933222310579,-0.266468060103966 53.2932280352497,-0.266666705860715 53.2931438684813,-0.267143793993627 53.2929671682355,-0.267153739373514 53.2929773884682,-0.267153653064629 53.2929775562232,-0.26716843346393 53.2929919505293,-0.267178671944549 53.293001824414,-0.267179264217713 53.2930023903847,-0.267181531178265 53.2930045826633,-0.268190164626564 53.2936032868819,-0.268209392210415 53.2935964343544,-0.268282033511861 53.2936397246818,-0.268283044630717 53.2936403227967,-0.268262190581447 53.2937107807404,-0.268261843880367 53.2937119335963,-0.268239152329795 53.2937758823088,-0.268219411268528 53.2938093835701)))</t>
  </si>
  <si>
    <t>P8</t>
  </si>
  <si>
    <t>MULTIPOLYGON (((-0.26625659047601 53.2945764360825,-0.266288775226281 53.2937813446044,-0.268219411268528 53.2938093835701,-0.268215148664001 53.2938166173494,-0.268191485872412 53.2938600533783,-0.26810930824085 53.2940147430038,-0.26808238390426 53.294066845492,-0.268081635680619 53.2940682801928,-0.268011989179799 53.2942132457734,-0.268011300498295 53.2942146921258,-0.267892568533771 53.2944618065091,-0.267823396310944 53.2945991939174,-0.26625659047601 53.2945764360825)))</t>
  </si>
  <si>
    <t>MULTIPOLYGON (((-0.266288775226281 53.2937813446044,-0.26625659047601 53.2945764360825,-0.264096016682452 53.294545019995,-0.264108363760448 53.2945330654225,-0.26415193890084 53.2944820484433,-0.264184256570308 53.2944455660085,-0.26418955934076 53.2944433786241,-0.264270579215968 53.2943645354225,-0.26437134960314 53.2942678020814,-0.264429548279988 53.2942123625833,-0.264436175595126 53.2942050361008,-0.264436300658004 53.2942049120627,-0.264457504524886 53.2941833761616,-0.264457629587639 53.2941832521235,-0.264541529901731 53.2940859909508,-0.264590990521412 53.2940478195581,-0.264647824012253 53.2940110247453,-0.264947205260204 53.2938517004394,-0.264948377203762 53.293851253608,-0.264948051870984 53.2938508766985,-0.265153874277006 53.2937648476454,-0.266288775226281 53.2937813446044)))</t>
  </si>
  <si>
    <t>MULTIPOLYGON (((-0.266005220135684 53.2954473152596,-0.266040605883304 53.2945732972939,-0.267823396310944 53.2945991939174,-0.267736336448871 53.2947721077845,-0.267735615157517 53.2947735437729,-0.267646216947843 53.2949605023327,-0.267645529004914 53.2949619298149,-0.267608910053735 53.2950385226111,-0.267548810061012 53.2951555045809,-0.267499928516477 53.2952622221395,-0.267461164708231 53.2953450864981,-0.267438867109005 53.2953844086746,-0.267437869240309 53.2953868205343,-0.267418642505831 53.2954344291609,-0.26741852630139 53.2954347052586,-0.267418192938671 53.2954355274804,-0.267401254521929 53.2954675966096,-0.266005220135684 53.2954473152596)))</t>
  </si>
  <si>
    <t>MULTIPOLYGON (((-0.266040605883304 53.2945732972939,-0.266005220135684 53.2954473152596,-0.264550131066194 53.2954261585712,-0.264708247231779 53.2953476909116,-0.264709318839414 53.29534716621,-0.264806453985026 53.2952940090003,-0.265017187090582 53.2951924322465,-0.265014792104217 53.2951914741649,-0.264519866281176 53.2949938959771,-0.263983251417667 53.2947839091096,-0.263888594470057 53.2947426178837,-0.263875237622388 53.2947372777529,-0.263956958825214 53.2946711448832,-0.264062946321828 53.2945770390309,-0.264096016682452 53.294545019995,-0.266040605883304 53.2945732972939)))</t>
  </si>
  <si>
    <t>MULTIPOLYGON (((-0.26544804370582 53.2962432628786,-0.26548058876668 53.2954396892776,-0.267401254521929 53.2954675966096,-0.267391332336278 53.2954863820401,-0.267390569395212 53.2954878084317,-0.267361275362129 53.2955442894296,-0.267354403519754 53.2955572221652,-0.267353642003106 53.2955586503752,-0.267333237376155 53.2956068109359,-0.267310154362791 53.2956507046866,-0.267307130587948 53.2956627646562,-0.267306756198919 53.2956642299523,-0.267283811292603 53.2957047086755,-0.267258325096231 53.2957486583112,-0.267219546734061 53.2958207336995,-0.267204348665858 53.2958477538974,-0.267187516550983 53.2958780738941,-0.267171997694962 53.2959093128421,-0.267145351438227 53.2959559677183,-0.267144544509271 53.2959573682978,-0.26711365665358 53.2960198474571,-0.267095405584441 53.2960518566925,-0.267063476017543 53.2961029935449,-0.267024079849272 53.296164362915,-0.266984007757519 53.2962290837438,-0.266983141268528 53.2962304726692,-0.26696248703407 53.2962652708045,-0.26544804370582 53.2962432628786)))</t>
  </si>
  <si>
    <t>MULTIPOLYGON (((-0.26548058876668 53.2954396892776,-0.26544804370582 53.2962432628786,-0.262919978384654 53.2962064821068,-0.263044984116943 53.2961470157079,-0.263045397436987 53.2961468140606,-0.263509181895053 53.2959261957806,-0.263769408533743 53.2958024013981,-0.264016314431648 53.2956840294569,-0.264041487016123 53.2956719601186,-0.264043814879732 53.2956707983445,-0.264246375108951 53.2955703023878,-0.264485444319022 53.2954582602525,-0.264550131066194 53.2954261585712,-0.26548058876668 53.2954396892776)))</t>
  </si>
  <si>
    <t>MULTIPOLYGON (((-0.265257219366247 53.2970972986844,-0.265291904901398 53.2962409927717,-0.26696248703407 53.2962652708045,-0.266950484066776 53.2962854933066,-0.266949647204932 53.2962868916519,-0.26691123046496 53.2963611297406,-0.266903345074748 53.2963780032424,-0.266893798054719 53.2964062732624,-0.266893009104402 53.2964257687929,-0.266894894935888 53.2964496191861,-0.266896577086903 53.2964785027127,-0.266894831932623 53.2965216266566,-0.266902908087542 53.296566782925,-0.266914085163122 53.2966391361623,-0.266915145706386 53.2966833805375,-0.266913564135982 53.2967224623409,-0.266913937356346 53.2967481687319,-0.266913962163229 53.2967497063498,-0.2669033742617 53.2967999871837,-0.266882312847379 53.2969043945521,-0.266881980404563 53.2969059350713,-0.266871487323283 53.296953870938,-0.266871212559435 53.2969550985507,-0.266859860238927 53.2970069127242,-0.266859524795097 53.2970084531997,-0.266844096943722 53.2970707972651,-0.266839677662057 53.2971132548693,-0.266839178843702 53.2971202898679,-0.265257219366247 53.2970972986844)))</t>
  </si>
  <si>
    <t>MULTIPOLYGON (((-0.263636569004453 53.2970737234214,-0.263671286507148 53.2962174184729,-0.265291904901398 53.2962409927717,-0.265257219366247 53.2970972986844,-0.263636569004453 53.2970737234214)))</t>
  </si>
  <si>
    <t>MULTIPOLYGON (((-0.263671286507148 53.2962174184729,-0.263636569004453 53.2970737234214,-0.261564097994026 53.2970435435132,-0.261515093193592 53.2970134924846,-0.261343231150615 53.2969148870322,-0.262047812000596 53.296598821696,-0.262898053650816 53.2962169118773,-0.262919978384654 53.2962064821068,-0.263671286507148 53.2962174184729)))</t>
  </si>
  <si>
    <t>MULTIPOLYGON (((-0.265248793585764 53.2980384735855,-0.265286900734587 53.2970977302476,-0.266839178843702 53.2971202898679,-0.266836181733238 53.297162559041,-0.26682673959694 53.2972623867657,-0.266819662522533 53.2973260217097,-0.266819407032896 53.297328626841,-0.266806564730448 53.2974049426633,-0.266793258258256 53.2974600987183,-0.266792865383677 53.297461649147,-0.266776408498411 53.2975279076959,-0.266776015586198 53.297529459023,-0.266772376074765 53.2975426364534,-0.26677226936639 53.2975430484345,-0.266760885589976 53.2975844357557,-0.26673996392615 53.2976490373414,-0.26671556268668 53.2977254576174,-0.266671778981649 53.2978380832359,-0.266671176868101 53.2978396126446,-0.266650428588157 53.2978962166997,-0.266626379869053 53.2979639201632,-0.266608720969659 53.2980146349213,-0.266593383563113 53.298045068235,-0.266584857072142 53.2980578925719,-0.265248793585764 53.2980384735855)))</t>
  </si>
  <si>
    <t>MULTIPOLYGON (((-0.263773574572362 53.2980170146504,-0.263811713690457 53.2970762722766,-0.265286900734587 53.2970977302476,-0.265248793585764 53.2980384735855,-0.263773574572362 53.2980170146504)))</t>
  </si>
  <si>
    <t>MULTIPOLYGON (((-0.263811713690457 53.2970762722766,-0.263773574572362 53.2980170146504,-0.263075617979764 53.2980068556227,-0.262886508206106 53.2978888474235,-0.262634989926088 53.2977302906807,-0.262585239497923 53.2976990035527,-0.261661504490961 53.2971032755503,-0.261564097994026 53.2970435435132,-0.263811713690457 53.2970762722766)))</t>
  </si>
  <si>
    <t>MULTIPOLYGON (((-0.263075617979764 53.2980068556227,-0.266584857072142 53.2980578925719,-0.266572131878289 53.2980770319859,-0.266544571363786 53.2981128586875,-0.266518010673013 53.2981388129178,-0.266484997440122 53.2981647659837,-0.266446380781333 53.2981919833968,-0.266377964073421 53.2982362062184,-0.266391150017008 53.2983089653489,-0.266375804354072 53.2983103128872,-0.266375502482853 53.2983103561468,-0.266374205160401 53.2983105242839,-0.266317635849511 53.2983178560379,-0.26623845042109 53.2983315394412,-0.265793666949799 53.2984094903106,-0.2653996358726 53.2984754990827,-0.265383286195549 53.2984782918407,-0.265382047033713 53.2984785057616,-0.265158586812245 53.2985167823903,-0.265157015488784 53.2985170463168,-0.264831616477888 53.2985727797372,-0.264455961992331 53.2986518190712,-0.264348153264468 53.2987089541988,-0.264230298469162 53.2986533367448,-0.264229856890342 53.2986531244538,-0.264072806321239 53.2985790010272,-0.263989071461271 53.298542005023,-0.263987849709242 53.2985414190899,-0.263952413123571 53.2985245698772,-0.263883705571604 53.2984907563993,-0.263826700146565 53.298460710893,-0.263812063587065 53.298451597092,-0.26374770103519 53.2984142544374,-0.263737604428351 53.2984079018401,-0.263655609680856 53.2983613127294,-0.263560478513548 53.2983056279674,-0.263417157652678 53.2982171499002,-0.263415690730644 53.2982163194657,-0.263111601466744 53.2980293099176,-0.263075617979764 53.2980068556227)))</t>
  </si>
  <si>
    <t>63 129</t>
  </si>
  <si>
    <t>NC</t>
  </si>
  <si>
    <t>&lt;0.1</t>
  </si>
  <si>
    <t>SC</t>
  </si>
  <si>
    <t>Winter Wheat</t>
  </si>
  <si>
    <t>Spring Barley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</si>
</sst>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dd/mm/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0" fillId="4" borderId="0" xfId="0" applyFill="1"/>
    <xf numFmtId="0" fontId="1" fillId="4" borderId="0" xfId="0" applyFont="1" applyFill="1"/>
    <xf numFmtId="2" fontId="1" fillId="4" borderId="0" xfId="0" applyNumberFormat="1" applyFont="1" applyFill="1"/>
    <xf numFmtId="2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4" borderId="0" xfId="0" applyNumberFormat="1" applyFont="1" applyFill="1"/>
    <xf numFmtId="165" fontId="1" fillId="0" borderId="0" xfId="0" applyNumberFormat="1" applyFont="1"/>
    <xf numFmtId="14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08C78F9-2D2E-49DD-946F-A2D0B2B46847}">
          <cx:tx>
            <cx:txData>
              <cx:f>_xlchart.v1.0</cx:f>
              <cx:v>SOCS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.0199999996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FC2DA1C-0751-4A89-AE97-2FB5FD9F0709}">
  <sheetPr/>
  <sheetViews>
    <sheetView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296F87E-A753-F958-2FEA-2EC958ED7D0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DDE88CB-B1F2-FE8E-3A7D-585BFD8AE114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89143" cy="6059714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GB" sz="1100"/>
            <a:t>This chart isn’t available in your version of Excel.
Editing this shape or saving this workbook into a different file format will permanently break the chart.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I82"/>
  <sheetViews>
    <sheetView tabSelected="1" topLeftCell="A47" workbookViewId="0">
      <selection activeCell="I87" sqref="I87"/>
    </sheetView>
  </sheetViews>
  <sheetFormatPr defaultColWidth="9.109375" defaultRowHeight="13.8" x14ac:dyDescent="0.3"/>
  <cols>
    <col min="1" max="1" width="16.109375" style="4" customWidth="1"/>
    <col min="2" max="2" width="8.5546875" style="4" customWidth="1"/>
    <col min="3" max="4" width="6.6640625" style="4" customWidth="1"/>
    <col min="5" max="6" width="9" style="4" customWidth="1"/>
    <col min="7" max="7" width="9.44140625" style="4" customWidth="1"/>
    <col min="8" max="8" width="11" style="4" customWidth="1"/>
    <col min="9" max="9" width="11.5546875" style="8" customWidth="1"/>
    <col min="10" max="11" width="6.44140625" style="4" customWidth="1"/>
    <col min="12" max="12" width="14.6640625" style="4" customWidth="1"/>
    <col min="13" max="13" width="6.44140625" style="4" customWidth="1"/>
    <col min="14" max="14" width="11" style="4" customWidth="1"/>
    <col min="15" max="16" width="10.88671875" style="20" customWidth="1"/>
    <col min="17" max="18" width="9.109375" style="2"/>
    <col min="19" max="19" width="11" style="2" bestFit="1" customWidth="1"/>
    <col min="20" max="20" width="7.109375" style="4" customWidth="1"/>
    <col min="21" max="22" width="9.109375" style="2"/>
    <col min="23" max="23" width="11.33203125" style="2" customWidth="1"/>
    <col min="24" max="16384" width="9.109375" style="2"/>
  </cols>
  <sheetData>
    <row r="1" spans="1:35" s="6" customFormat="1" ht="27.75" customHeight="1" x14ac:dyDescent="0.3">
      <c r="A1" s="3" t="s">
        <v>4</v>
      </c>
      <c r="B1" s="3" t="s">
        <v>5</v>
      </c>
      <c r="C1" s="3" t="s">
        <v>6</v>
      </c>
      <c r="D1" s="3" t="s">
        <v>2</v>
      </c>
      <c r="E1" s="3" t="s">
        <v>7</v>
      </c>
      <c r="F1" s="3" t="s">
        <v>30</v>
      </c>
      <c r="G1" s="5" t="s">
        <v>31</v>
      </c>
      <c r="H1" s="5" t="s">
        <v>32</v>
      </c>
      <c r="I1" s="7" t="s">
        <v>8</v>
      </c>
      <c r="J1" s="3" t="s">
        <v>3</v>
      </c>
      <c r="K1" s="3" t="s">
        <v>9</v>
      </c>
      <c r="L1" s="3" t="s">
        <v>26</v>
      </c>
      <c r="M1" s="3" t="s">
        <v>33</v>
      </c>
      <c r="N1" s="3" t="s">
        <v>11</v>
      </c>
      <c r="O1" s="18" t="s">
        <v>12</v>
      </c>
      <c r="P1" s="18" t="s">
        <v>13</v>
      </c>
      <c r="Q1" s="1" t="s">
        <v>27</v>
      </c>
      <c r="R1" s="1" t="s">
        <v>28</v>
      </c>
      <c r="S1" s="1" t="s">
        <v>29</v>
      </c>
      <c r="T1" s="1" t="s">
        <v>14</v>
      </c>
      <c r="U1" s="1" t="s">
        <v>10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/>
    </row>
    <row r="2" spans="1:35" s="13" customFormat="1" ht="14.4" x14ac:dyDescent="0.3">
      <c r="A2" s="10">
        <v>631297791</v>
      </c>
      <c r="B2" s="10" t="s">
        <v>0</v>
      </c>
      <c r="C2" s="10" t="s">
        <v>1</v>
      </c>
      <c r="D2" s="10">
        <v>63</v>
      </c>
      <c r="E2" s="10">
        <v>129</v>
      </c>
      <c r="F2" s="10">
        <v>779</v>
      </c>
      <c r="G2" s="10">
        <v>1</v>
      </c>
      <c r="H2" s="10" t="s">
        <v>35</v>
      </c>
      <c r="I2" s="11" t="s">
        <v>34</v>
      </c>
      <c r="J2" s="10">
        <v>4326</v>
      </c>
      <c r="K2" s="10">
        <v>1.0454000000000001</v>
      </c>
      <c r="L2" s="10" t="s">
        <v>123</v>
      </c>
      <c r="M2" s="10">
        <v>106404354</v>
      </c>
      <c r="N2" s="21">
        <v>45014</v>
      </c>
      <c r="O2" s="19">
        <v>45034</v>
      </c>
      <c r="P2" s="19">
        <v>45098</v>
      </c>
      <c r="Q2" s="12" t="s">
        <v>119</v>
      </c>
      <c r="R2" s="12">
        <v>231619</v>
      </c>
      <c r="S2" s="13">
        <v>631297791</v>
      </c>
      <c r="T2" s="10">
        <v>1.2</v>
      </c>
      <c r="U2" s="13">
        <v>30</v>
      </c>
      <c r="V2" s="13">
        <v>0</v>
      </c>
      <c r="W2" s="13" t="s">
        <v>120</v>
      </c>
      <c r="X2" s="13">
        <v>0.1</v>
      </c>
      <c r="Y2" s="13">
        <v>1.5</v>
      </c>
      <c r="Z2" s="13">
        <v>0.13</v>
      </c>
      <c r="AA2" s="13">
        <v>11</v>
      </c>
      <c r="AB2" s="13">
        <v>2.5</v>
      </c>
      <c r="AC2" s="13">
        <v>1.4</v>
      </c>
      <c r="AE2" s="14">
        <f>T2*U2*AC2</f>
        <v>50.4</v>
      </c>
      <c r="AF2" s="13">
        <v>50</v>
      </c>
      <c r="AG2" s="13">
        <f t="shared" ref="AG2:AG21" si="0">ABS(AF2-AVERAGE(AF$2:AF$21))/AVERAGE(AF$2:AF$21)</f>
        <v>0.16822429906542063</v>
      </c>
      <c r="AH2" s="13">
        <f>_xlfn.STDEV.P(AF2:AF21)</f>
        <v>10.717275773255068</v>
      </c>
      <c r="AI2" s="13">
        <f>AVERAGE(AF2:AF21)</f>
        <v>42.8</v>
      </c>
    </row>
    <row r="3" spans="1:35" s="13" customFormat="1" ht="14.4" x14ac:dyDescent="0.3">
      <c r="A3" s="10">
        <v>631297792</v>
      </c>
      <c r="B3" s="10" t="s">
        <v>0</v>
      </c>
      <c r="C3" s="10" t="s">
        <v>1</v>
      </c>
      <c r="D3" s="10">
        <v>63</v>
      </c>
      <c r="E3" s="10">
        <v>129</v>
      </c>
      <c r="F3" s="10">
        <v>779</v>
      </c>
      <c r="G3" s="10">
        <v>2</v>
      </c>
      <c r="H3" s="10" t="s">
        <v>35</v>
      </c>
      <c r="I3" s="11" t="s">
        <v>36</v>
      </c>
      <c r="J3" s="10">
        <v>4326</v>
      </c>
      <c r="K3" s="10">
        <v>1.0452999999999999</v>
      </c>
      <c r="L3" s="10" t="s">
        <v>123</v>
      </c>
      <c r="M3" s="10">
        <v>106404354</v>
      </c>
      <c r="N3" s="21">
        <v>45014</v>
      </c>
      <c r="O3" s="19">
        <v>45034</v>
      </c>
      <c r="P3" s="19">
        <v>45098</v>
      </c>
      <c r="Q3" s="12" t="s">
        <v>119</v>
      </c>
      <c r="R3" s="12">
        <v>231620</v>
      </c>
      <c r="S3" s="13">
        <v>631297792</v>
      </c>
      <c r="T3" s="10">
        <v>1.17</v>
      </c>
      <c r="U3" s="13">
        <v>30</v>
      </c>
      <c r="V3" s="13">
        <v>0</v>
      </c>
      <c r="W3" s="13" t="s">
        <v>120</v>
      </c>
      <c r="X3" s="13" t="s">
        <v>121</v>
      </c>
      <c r="Y3" s="13">
        <v>1.9</v>
      </c>
      <c r="Z3" s="13">
        <v>0.16</v>
      </c>
      <c r="AA3" s="13">
        <v>11</v>
      </c>
      <c r="AB3" s="13">
        <v>3.1</v>
      </c>
      <c r="AC3" s="13">
        <v>1.8</v>
      </c>
      <c r="AE3" s="14">
        <f t="shared" ref="AE3:AE9" si="1">T3*U3*AC3</f>
        <v>63.179999999999993</v>
      </c>
      <c r="AF3" s="13">
        <v>63</v>
      </c>
      <c r="AG3" s="13">
        <f t="shared" si="0"/>
        <v>0.47196261682243001</v>
      </c>
    </row>
    <row r="4" spans="1:35" s="13" customFormat="1" ht="14.4" x14ac:dyDescent="0.3">
      <c r="A4" s="10">
        <v>631297793</v>
      </c>
      <c r="B4" s="10" t="s">
        <v>0</v>
      </c>
      <c r="C4" s="10" t="s">
        <v>1</v>
      </c>
      <c r="D4" s="10">
        <v>63</v>
      </c>
      <c r="E4" s="10">
        <v>129</v>
      </c>
      <c r="F4" s="10">
        <v>779</v>
      </c>
      <c r="G4" s="10">
        <v>3</v>
      </c>
      <c r="H4" s="10" t="s">
        <v>35</v>
      </c>
      <c r="I4" s="11" t="s">
        <v>37</v>
      </c>
      <c r="J4" s="10">
        <v>4326</v>
      </c>
      <c r="K4" s="10">
        <v>1.0454000000000001</v>
      </c>
      <c r="L4" s="10" t="s">
        <v>123</v>
      </c>
      <c r="M4" s="10">
        <v>106404354</v>
      </c>
      <c r="N4" s="21">
        <v>45014</v>
      </c>
      <c r="O4" s="19">
        <v>45034</v>
      </c>
      <c r="P4" s="19">
        <v>45098</v>
      </c>
      <c r="Q4" s="12" t="s">
        <v>119</v>
      </c>
      <c r="R4" s="12">
        <v>231621</v>
      </c>
      <c r="S4" s="13">
        <v>631297793</v>
      </c>
      <c r="T4" s="10">
        <v>1.1599999999999999</v>
      </c>
      <c r="U4" s="13">
        <v>30</v>
      </c>
      <c r="V4" s="13">
        <v>0</v>
      </c>
      <c r="W4" s="13" t="s">
        <v>120</v>
      </c>
      <c r="X4" s="13" t="s">
        <v>121</v>
      </c>
      <c r="Y4" s="13">
        <v>1.7</v>
      </c>
      <c r="Z4" s="13">
        <v>0.14000000000000001</v>
      </c>
      <c r="AA4" s="13">
        <v>11</v>
      </c>
      <c r="AB4" s="13">
        <v>2.8</v>
      </c>
      <c r="AC4" s="13">
        <v>1.6</v>
      </c>
      <c r="AE4" s="14">
        <f t="shared" si="1"/>
        <v>55.68</v>
      </c>
      <c r="AF4" s="13">
        <v>56</v>
      </c>
      <c r="AG4" s="13">
        <f t="shared" si="0"/>
        <v>0.30841121495327112</v>
      </c>
    </row>
    <row r="5" spans="1:35" s="13" customFormat="1" ht="14.4" x14ac:dyDescent="0.3">
      <c r="A5" s="10">
        <v>631297794</v>
      </c>
      <c r="B5" s="10" t="s">
        <v>0</v>
      </c>
      <c r="C5" s="10" t="s">
        <v>1</v>
      </c>
      <c r="D5" s="10">
        <v>63</v>
      </c>
      <c r="E5" s="10">
        <v>129</v>
      </c>
      <c r="F5" s="10">
        <v>779</v>
      </c>
      <c r="G5" s="10">
        <v>4</v>
      </c>
      <c r="H5" s="10" t="s">
        <v>35</v>
      </c>
      <c r="I5" s="11" t="s">
        <v>38</v>
      </c>
      <c r="J5" s="10">
        <v>4326</v>
      </c>
      <c r="K5" s="10">
        <v>1.0452999999999999</v>
      </c>
      <c r="L5" s="10" t="s">
        <v>123</v>
      </c>
      <c r="M5" s="10">
        <v>106404354</v>
      </c>
      <c r="N5" s="21">
        <v>45014</v>
      </c>
      <c r="O5" s="19">
        <v>45034</v>
      </c>
      <c r="P5" s="19">
        <v>45098</v>
      </c>
      <c r="Q5" s="12" t="s">
        <v>119</v>
      </c>
      <c r="R5" s="12">
        <v>231622</v>
      </c>
      <c r="S5" s="13">
        <v>631297794</v>
      </c>
      <c r="T5" s="10">
        <v>1.19</v>
      </c>
      <c r="U5" s="13">
        <v>30</v>
      </c>
      <c r="V5" s="13">
        <v>0</v>
      </c>
      <c r="W5" s="13" t="s">
        <v>120</v>
      </c>
      <c r="X5" s="13" t="s">
        <v>121</v>
      </c>
      <c r="Y5" s="13">
        <v>1.6</v>
      </c>
      <c r="Z5" s="13">
        <v>0.12</v>
      </c>
      <c r="AA5" s="13">
        <v>13</v>
      </c>
      <c r="AB5" s="13">
        <v>2.7</v>
      </c>
      <c r="AC5" s="13">
        <v>1.5</v>
      </c>
      <c r="AE5" s="14">
        <f t="shared" si="1"/>
        <v>53.55</v>
      </c>
      <c r="AF5" s="13">
        <v>54</v>
      </c>
      <c r="AG5" s="13">
        <f t="shared" si="0"/>
        <v>0.26168224299065429</v>
      </c>
    </row>
    <row r="6" spans="1:35" s="13" customFormat="1" ht="14.4" x14ac:dyDescent="0.3">
      <c r="A6" s="10">
        <v>631297795</v>
      </c>
      <c r="B6" s="10" t="s">
        <v>0</v>
      </c>
      <c r="C6" s="10" t="s">
        <v>1</v>
      </c>
      <c r="D6" s="10">
        <v>63</v>
      </c>
      <c r="E6" s="10">
        <v>129</v>
      </c>
      <c r="F6" s="10">
        <v>779</v>
      </c>
      <c r="G6" s="10">
        <v>5</v>
      </c>
      <c r="H6" s="10" t="s">
        <v>35</v>
      </c>
      <c r="I6" s="11" t="s">
        <v>39</v>
      </c>
      <c r="J6" s="10">
        <v>4326</v>
      </c>
      <c r="K6" s="10">
        <v>1.0452999999999999</v>
      </c>
      <c r="L6" s="10" t="s">
        <v>123</v>
      </c>
      <c r="M6" s="10">
        <v>106404354</v>
      </c>
      <c r="N6" s="21">
        <v>45014</v>
      </c>
      <c r="O6" s="19">
        <v>45034</v>
      </c>
      <c r="P6" s="19">
        <v>45098</v>
      </c>
      <c r="Q6" s="12" t="s">
        <v>119</v>
      </c>
      <c r="R6" s="12">
        <v>231623</v>
      </c>
      <c r="S6" s="13">
        <v>631297795</v>
      </c>
      <c r="T6" s="10">
        <v>1.19</v>
      </c>
      <c r="U6" s="13">
        <v>30</v>
      </c>
      <c r="V6" s="13">
        <v>0</v>
      </c>
      <c r="W6" s="13" t="s">
        <v>120</v>
      </c>
      <c r="X6" s="13" t="s">
        <v>121</v>
      </c>
      <c r="Y6" s="13">
        <v>1</v>
      </c>
      <c r="Z6" s="13">
        <v>0.1</v>
      </c>
      <c r="AA6" s="13">
        <v>10</v>
      </c>
      <c r="AB6" s="13">
        <v>1.8</v>
      </c>
      <c r="AC6" s="13">
        <v>1</v>
      </c>
      <c r="AE6" s="14">
        <f t="shared" si="1"/>
        <v>35.699999999999996</v>
      </c>
      <c r="AF6" s="13">
        <v>36</v>
      </c>
      <c r="AG6" s="13">
        <f t="shared" si="0"/>
        <v>0.15887850467289713</v>
      </c>
    </row>
    <row r="7" spans="1:35" s="13" customFormat="1" ht="14.4" x14ac:dyDescent="0.3">
      <c r="A7" s="10">
        <v>631297796</v>
      </c>
      <c r="B7" s="10" t="s">
        <v>0</v>
      </c>
      <c r="C7" s="10" t="s">
        <v>1</v>
      </c>
      <c r="D7" s="10">
        <v>63</v>
      </c>
      <c r="E7" s="10">
        <v>129</v>
      </c>
      <c r="F7" s="10">
        <v>779</v>
      </c>
      <c r="G7" s="10">
        <v>6</v>
      </c>
      <c r="H7" s="10" t="s">
        <v>35</v>
      </c>
      <c r="I7" s="11" t="s">
        <v>40</v>
      </c>
      <c r="J7" s="10">
        <v>4326</v>
      </c>
      <c r="K7" s="10">
        <v>1.0452999999999999</v>
      </c>
      <c r="L7" s="10" t="s">
        <v>123</v>
      </c>
      <c r="M7" s="10">
        <v>106404354</v>
      </c>
      <c r="N7" s="21">
        <v>45014</v>
      </c>
      <c r="O7" s="19">
        <v>45034</v>
      </c>
      <c r="P7" s="19">
        <v>45098</v>
      </c>
      <c r="Q7" s="12" t="s">
        <v>119</v>
      </c>
      <c r="R7" s="12">
        <v>231624</v>
      </c>
      <c r="S7" s="13">
        <v>631297796</v>
      </c>
      <c r="T7" s="10">
        <v>1.19</v>
      </c>
      <c r="U7" s="13">
        <v>30</v>
      </c>
      <c r="V7" s="13">
        <v>0</v>
      </c>
      <c r="W7" s="13" t="s">
        <v>120</v>
      </c>
      <c r="X7" s="13" t="s">
        <v>121</v>
      </c>
      <c r="Y7" s="13">
        <v>1.3</v>
      </c>
      <c r="Z7" s="13">
        <v>0.12</v>
      </c>
      <c r="AA7" s="13">
        <v>11</v>
      </c>
      <c r="AB7" s="13">
        <v>2.2000000000000002</v>
      </c>
      <c r="AC7" s="13">
        <v>1.3</v>
      </c>
      <c r="AE7" s="14">
        <f t="shared" si="1"/>
        <v>46.41</v>
      </c>
      <c r="AF7" s="13">
        <v>46</v>
      </c>
      <c r="AG7" s="13">
        <f t="shared" si="0"/>
        <v>7.4766355140186994E-2</v>
      </c>
    </row>
    <row r="8" spans="1:35" s="13" customFormat="1" ht="14.4" x14ac:dyDescent="0.3">
      <c r="A8" s="10">
        <v>631297797</v>
      </c>
      <c r="B8" s="10" t="s">
        <v>0</v>
      </c>
      <c r="C8" s="10" t="s">
        <v>1</v>
      </c>
      <c r="D8" s="10">
        <v>63</v>
      </c>
      <c r="E8" s="10">
        <v>129</v>
      </c>
      <c r="F8" s="10">
        <v>779</v>
      </c>
      <c r="G8" s="10">
        <v>7</v>
      </c>
      <c r="H8" s="10" t="s">
        <v>35</v>
      </c>
      <c r="I8" s="11" t="s">
        <v>41</v>
      </c>
      <c r="J8" s="10">
        <v>4326</v>
      </c>
      <c r="K8" s="10">
        <v>1.0452999999999999</v>
      </c>
      <c r="L8" s="10" t="s">
        <v>123</v>
      </c>
      <c r="M8" s="10">
        <v>106404354</v>
      </c>
      <c r="N8" s="21">
        <v>45014</v>
      </c>
      <c r="O8" s="19">
        <v>45034</v>
      </c>
      <c r="P8" s="19">
        <v>45098</v>
      </c>
      <c r="Q8" s="12" t="s">
        <v>119</v>
      </c>
      <c r="R8" s="12">
        <v>231625</v>
      </c>
      <c r="S8" s="13">
        <v>631297797</v>
      </c>
      <c r="T8" s="10">
        <v>1.1599999999999999</v>
      </c>
      <c r="U8" s="13">
        <v>30</v>
      </c>
      <c r="V8" s="13">
        <v>0</v>
      </c>
      <c r="W8" s="13" t="s">
        <v>120</v>
      </c>
      <c r="X8" s="13" t="s">
        <v>121</v>
      </c>
      <c r="Y8" s="13">
        <v>1.9</v>
      </c>
      <c r="Z8" s="13">
        <v>0.18</v>
      </c>
      <c r="AA8" s="13">
        <v>11</v>
      </c>
      <c r="AB8" s="13">
        <v>3.2</v>
      </c>
      <c r="AC8" s="13">
        <v>1.9</v>
      </c>
      <c r="AE8" s="14">
        <f t="shared" si="1"/>
        <v>66.11999999999999</v>
      </c>
      <c r="AF8" s="13">
        <v>66</v>
      </c>
      <c r="AG8" s="13">
        <f t="shared" si="0"/>
        <v>0.5420560747663552</v>
      </c>
    </row>
    <row r="9" spans="1:35" s="13" customFormat="1" ht="14.4" x14ac:dyDescent="0.3">
      <c r="A9" s="10">
        <v>631297798</v>
      </c>
      <c r="B9" s="10" t="s">
        <v>0</v>
      </c>
      <c r="C9" s="10" t="s">
        <v>1</v>
      </c>
      <c r="D9" s="10">
        <v>63</v>
      </c>
      <c r="E9" s="10">
        <v>129</v>
      </c>
      <c r="F9" s="10">
        <v>779</v>
      </c>
      <c r="G9" s="10">
        <v>8</v>
      </c>
      <c r="H9" s="10" t="s">
        <v>35</v>
      </c>
      <c r="I9" s="11" t="s">
        <v>42</v>
      </c>
      <c r="J9" s="10">
        <v>4326</v>
      </c>
      <c r="K9" s="10">
        <v>1.0452999999999999</v>
      </c>
      <c r="L9" s="10" t="s">
        <v>123</v>
      </c>
      <c r="M9" s="10">
        <v>106404354</v>
      </c>
      <c r="N9" s="21">
        <v>45014</v>
      </c>
      <c r="O9" s="19">
        <v>45034</v>
      </c>
      <c r="P9" s="19">
        <v>45098</v>
      </c>
      <c r="Q9" s="12" t="s">
        <v>119</v>
      </c>
      <c r="R9" s="12">
        <v>231626</v>
      </c>
      <c r="S9" s="13">
        <v>631297798</v>
      </c>
      <c r="T9" s="10">
        <v>1.17</v>
      </c>
      <c r="U9" s="13">
        <v>30</v>
      </c>
      <c r="V9" s="13">
        <v>0</v>
      </c>
      <c r="W9" s="13" t="s">
        <v>120</v>
      </c>
      <c r="X9" s="13" t="s">
        <v>121</v>
      </c>
      <c r="Y9" s="13">
        <v>1.5</v>
      </c>
      <c r="Z9" s="13">
        <v>0.11</v>
      </c>
      <c r="AA9" s="13">
        <v>14</v>
      </c>
      <c r="AB9" s="13">
        <v>2.6</v>
      </c>
      <c r="AC9" s="13">
        <v>1.5</v>
      </c>
      <c r="AE9" s="14">
        <f t="shared" si="1"/>
        <v>52.649999999999991</v>
      </c>
      <c r="AF9" s="13">
        <v>53</v>
      </c>
      <c r="AG9" s="13">
        <f t="shared" si="0"/>
        <v>0.23831775700934588</v>
      </c>
    </row>
    <row r="10" spans="1:35" s="13" customFormat="1" ht="14.4" x14ac:dyDescent="0.3">
      <c r="A10" s="10">
        <v>631297799</v>
      </c>
      <c r="B10" s="10" t="s">
        <v>0</v>
      </c>
      <c r="C10" s="10" t="s">
        <v>1</v>
      </c>
      <c r="D10" s="10">
        <v>63</v>
      </c>
      <c r="E10" s="10">
        <v>129</v>
      </c>
      <c r="F10" s="10">
        <v>779</v>
      </c>
      <c r="G10" s="10">
        <v>9</v>
      </c>
      <c r="H10" s="10" t="s">
        <v>35</v>
      </c>
      <c r="I10" s="11" t="s">
        <v>43</v>
      </c>
      <c r="J10" s="10">
        <v>4326</v>
      </c>
      <c r="K10" s="10">
        <v>1.0452999999999999</v>
      </c>
      <c r="L10" s="10" t="s">
        <v>123</v>
      </c>
      <c r="M10" s="10">
        <v>106404354</v>
      </c>
      <c r="N10" s="21">
        <v>45014</v>
      </c>
      <c r="O10" s="19"/>
      <c r="P10" s="19"/>
      <c r="Q10" s="12"/>
      <c r="R10" s="12"/>
      <c r="S10" s="13">
        <f t="shared" ref="S10" si="2">A10</f>
        <v>631297799</v>
      </c>
      <c r="T10" s="15">
        <f>AVERAGE(T2:T9,T11:T21)</f>
        <v>1.206315789473684</v>
      </c>
      <c r="U10" s="13">
        <v>30</v>
      </c>
      <c r="AC10" s="16">
        <f>AVERAGE(AC2:AC9,AC11:AC21)</f>
        <v>1.1894736842105267</v>
      </c>
      <c r="AE10" s="14">
        <f>T10*U10*AC10</f>
        <v>43.046426592797786</v>
      </c>
      <c r="AF10" s="17">
        <v>43</v>
      </c>
      <c r="AG10" s="13">
        <f t="shared" si="0"/>
        <v>4.6728971962617487E-3</v>
      </c>
    </row>
    <row r="11" spans="1:35" s="13" customFormat="1" ht="14.4" x14ac:dyDescent="0.3">
      <c r="A11" s="10">
        <v>6312977910</v>
      </c>
      <c r="B11" s="10" t="s">
        <v>0</v>
      </c>
      <c r="C11" s="10" t="s">
        <v>1</v>
      </c>
      <c r="D11" s="10">
        <v>63</v>
      </c>
      <c r="E11" s="10">
        <v>129</v>
      </c>
      <c r="F11" s="10">
        <v>779</v>
      </c>
      <c r="G11" s="10">
        <v>10</v>
      </c>
      <c r="H11" s="10" t="s">
        <v>35</v>
      </c>
      <c r="I11" s="11" t="s">
        <v>44</v>
      </c>
      <c r="J11" s="10">
        <v>4326</v>
      </c>
      <c r="K11" s="10">
        <v>1.0452999999999999</v>
      </c>
      <c r="L11" s="10" t="s">
        <v>123</v>
      </c>
      <c r="M11" s="10">
        <v>106404354</v>
      </c>
      <c r="N11" s="21">
        <v>45014</v>
      </c>
      <c r="O11" s="19">
        <v>45034</v>
      </c>
      <c r="P11" s="19">
        <v>45098</v>
      </c>
      <c r="Q11" s="12" t="s">
        <v>119</v>
      </c>
      <c r="R11" s="12">
        <v>231627</v>
      </c>
      <c r="S11" s="13">
        <v>6312977910</v>
      </c>
      <c r="T11" s="10">
        <v>1.25</v>
      </c>
      <c r="U11" s="13">
        <v>30</v>
      </c>
      <c r="V11" s="13">
        <v>0</v>
      </c>
      <c r="W11" s="13" t="s">
        <v>120</v>
      </c>
      <c r="X11" s="13" t="s">
        <v>121</v>
      </c>
      <c r="Y11" s="13">
        <v>0.9</v>
      </c>
      <c r="Z11" s="13">
        <v>0.09</v>
      </c>
      <c r="AA11" s="13">
        <v>10</v>
      </c>
      <c r="AB11" s="13">
        <v>1.5</v>
      </c>
      <c r="AC11" s="13">
        <v>0.9</v>
      </c>
      <c r="AE11" s="14">
        <f>T11*U11*AC11</f>
        <v>33.75</v>
      </c>
      <c r="AF11" s="13">
        <v>34</v>
      </c>
      <c r="AG11" s="13">
        <f t="shared" si="0"/>
        <v>0.20560747663551396</v>
      </c>
    </row>
    <row r="12" spans="1:35" s="13" customFormat="1" x14ac:dyDescent="0.3">
      <c r="A12" s="10">
        <v>6312977911</v>
      </c>
      <c r="B12" s="10" t="s">
        <v>0</v>
      </c>
      <c r="C12" s="10" t="s">
        <v>1</v>
      </c>
      <c r="D12" s="10">
        <v>63</v>
      </c>
      <c r="E12" s="10">
        <v>129</v>
      </c>
      <c r="F12" s="10">
        <v>779</v>
      </c>
      <c r="G12" s="10">
        <v>11</v>
      </c>
      <c r="H12" s="10" t="s">
        <v>35</v>
      </c>
      <c r="I12" s="11" t="s">
        <v>45</v>
      </c>
      <c r="J12" s="10">
        <v>4326</v>
      </c>
      <c r="K12" s="10">
        <v>1.0452999999999999</v>
      </c>
      <c r="L12" s="10" t="s">
        <v>123</v>
      </c>
      <c r="M12" s="10">
        <v>106404354</v>
      </c>
      <c r="N12" s="21">
        <v>45014</v>
      </c>
      <c r="O12" s="19">
        <v>45034</v>
      </c>
      <c r="P12" s="19">
        <v>45098</v>
      </c>
      <c r="Q12" s="13" t="s">
        <v>119</v>
      </c>
      <c r="R12" s="13">
        <v>231628</v>
      </c>
      <c r="S12" s="13">
        <v>6312977911</v>
      </c>
      <c r="T12" s="10">
        <v>1.19</v>
      </c>
      <c r="U12" s="13">
        <v>30</v>
      </c>
      <c r="V12" s="13">
        <v>0</v>
      </c>
      <c r="W12" s="13" t="s">
        <v>120</v>
      </c>
      <c r="X12" s="13" t="s">
        <v>121</v>
      </c>
      <c r="Y12" s="13">
        <v>1.1000000000000001</v>
      </c>
      <c r="Z12" s="13">
        <v>0.1</v>
      </c>
      <c r="AA12" s="13">
        <v>11</v>
      </c>
      <c r="AB12" s="13">
        <v>1.9</v>
      </c>
      <c r="AC12" s="13">
        <v>1.1000000000000001</v>
      </c>
      <c r="AE12" s="14">
        <f t="shared" ref="AE12:AE21" si="3">T12*U12*AC12</f>
        <v>39.269999999999996</v>
      </c>
      <c r="AF12" s="13">
        <v>39</v>
      </c>
      <c r="AG12" s="13">
        <f t="shared" si="0"/>
        <v>8.8785046728971903E-2</v>
      </c>
    </row>
    <row r="13" spans="1:35" s="13" customFormat="1" x14ac:dyDescent="0.3">
      <c r="A13" s="10">
        <v>6312977912</v>
      </c>
      <c r="B13" s="10" t="s">
        <v>0</v>
      </c>
      <c r="C13" s="10" t="s">
        <v>1</v>
      </c>
      <c r="D13" s="10">
        <v>63</v>
      </c>
      <c r="E13" s="10">
        <v>129</v>
      </c>
      <c r="F13" s="10">
        <v>779</v>
      </c>
      <c r="G13" s="10">
        <v>12</v>
      </c>
      <c r="H13" s="10" t="s">
        <v>35</v>
      </c>
      <c r="I13" s="11" t="s">
        <v>46</v>
      </c>
      <c r="J13" s="10">
        <v>4326</v>
      </c>
      <c r="K13" s="10">
        <v>1.0452999999999999</v>
      </c>
      <c r="L13" s="10" t="s">
        <v>123</v>
      </c>
      <c r="M13" s="10">
        <v>106404354</v>
      </c>
      <c r="N13" s="21">
        <v>45014</v>
      </c>
      <c r="O13" s="19">
        <v>45062</v>
      </c>
      <c r="P13" s="19">
        <v>45062</v>
      </c>
      <c r="Q13" s="13" t="s">
        <v>119</v>
      </c>
      <c r="R13" s="13">
        <v>233427</v>
      </c>
      <c r="S13" s="13">
        <v>6312977912</v>
      </c>
      <c r="T13" s="10">
        <v>1.27</v>
      </c>
      <c r="U13" s="13">
        <v>30</v>
      </c>
      <c r="V13" s="13">
        <v>0</v>
      </c>
      <c r="W13" s="13" t="s">
        <v>120</v>
      </c>
      <c r="X13" s="13" t="s">
        <v>121</v>
      </c>
      <c r="Y13" s="13">
        <v>1</v>
      </c>
      <c r="Z13" s="13">
        <v>0.1</v>
      </c>
      <c r="AA13" s="13">
        <v>10</v>
      </c>
      <c r="AB13" s="13">
        <v>1.6</v>
      </c>
      <c r="AC13" s="13">
        <v>1</v>
      </c>
      <c r="AE13" s="14">
        <f t="shared" si="3"/>
        <v>38.1</v>
      </c>
      <c r="AF13" s="13">
        <v>38</v>
      </c>
      <c r="AG13" s="13">
        <f t="shared" si="0"/>
        <v>0.11214953271028032</v>
      </c>
    </row>
    <row r="14" spans="1:35" s="13" customFormat="1" x14ac:dyDescent="0.3">
      <c r="A14" s="10">
        <v>6312977913</v>
      </c>
      <c r="B14" s="10" t="s">
        <v>0</v>
      </c>
      <c r="C14" s="10" t="s">
        <v>1</v>
      </c>
      <c r="D14" s="10">
        <v>63</v>
      </c>
      <c r="E14" s="10">
        <v>129</v>
      </c>
      <c r="F14" s="10">
        <v>779</v>
      </c>
      <c r="G14" s="10">
        <v>13</v>
      </c>
      <c r="H14" s="10" t="s">
        <v>35</v>
      </c>
      <c r="I14" s="11" t="s">
        <v>47</v>
      </c>
      <c r="J14" s="10">
        <v>4326</v>
      </c>
      <c r="K14" s="10">
        <v>1.0452999999999999</v>
      </c>
      <c r="L14" s="10" t="s">
        <v>123</v>
      </c>
      <c r="M14" s="10">
        <v>106404354</v>
      </c>
      <c r="N14" s="21">
        <v>45014</v>
      </c>
      <c r="O14" s="19">
        <v>45062</v>
      </c>
      <c r="P14" s="19">
        <v>45062</v>
      </c>
      <c r="Q14" s="13" t="s">
        <v>119</v>
      </c>
      <c r="R14" s="13">
        <v>233428</v>
      </c>
      <c r="S14" s="13">
        <v>6312977913</v>
      </c>
      <c r="T14" s="10">
        <v>1.22</v>
      </c>
      <c r="U14" s="13">
        <v>30</v>
      </c>
      <c r="V14" s="13">
        <v>0</v>
      </c>
      <c r="W14" s="13" t="s">
        <v>120</v>
      </c>
      <c r="X14" s="13" t="s">
        <v>121</v>
      </c>
      <c r="Y14" s="13">
        <v>0.9</v>
      </c>
      <c r="Z14" s="13">
        <v>0.09</v>
      </c>
      <c r="AA14" s="13">
        <v>10</v>
      </c>
      <c r="AB14" s="13">
        <v>1.5</v>
      </c>
      <c r="AC14" s="13">
        <v>0.9</v>
      </c>
      <c r="AE14" s="14">
        <f t="shared" si="3"/>
        <v>32.940000000000005</v>
      </c>
      <c r="AF14" s="13">
        <v>33</v>
      </c>
      <c r="AG14" s="13">
        <f t="shared" si="0"/>
        <v>0.22897196261682237</v>
      </c>
    </row>
    <row r="15" spans="1:35" s="13" customFormat="1" x14ac:dyDescent="0.3">
      <c r="A15" s="10">
        <v>6312977914</v>
      </c>
      <c r="B15" s="10" t="s">
        <v>0</v>
      </c>
      <c r="C15" s="10" t="s">
        <v>1</v>
      </c>
      <c r="D15" s="10">
        <v>63</v>
      </c>
      <c r="E15" s="10">
        <v>129</v>
      </c>
      <c r="F15" s="10">
        <v>779</v>
      </c>
      <c r="G15" s="10">
        <v>14</v>
      </c>
      <c r="H15" s="10" t="s">
        <v>35</v>
      </c>
      <c r="I15" s="11" t="s">
        <v>48</v>
      </c>
      <c r="J15" s="10">
        <v>4326</v>
      </c>
      <c r="K15" s="10">
        <v>1.0452999999999999</v>
      </c>
      <c r="L15" s="10" t="s">
        <v>123</v>
      </c>
      <c r="M15" s="10">
        <v>106404354</v>
      </c>
      <c r="N15" s="21">
        <v>45014</v>
      </c>
      <c r="O15" s="19">
        <v>45062</v>
      </c>
      <c r="P15" s="19">
        <v>45062</v>
      </c>
      <c r="Q15" s="13" t="s">
        <v>119</v>
      </c>
      <c r="R15" s="13">
        <v>233429</v>
      </c>
      <c r="S15" s="13">
        <v>6312977914</v>
      </c>
      <c r="T15" s="10">
        <v>1.25</v>
      </c>
      <c r="U15" s="13">
        <v>30</v>
      </c>
      <c r="V15" s="13">
        <v>0</v>
      </c>
      <c r="W15" s="13" t="s">
        <v>120</v>
      </c>
      <c r="X15" s="13" t="s">
        <v>121</v>
      </c>
      <c r="Y15" s="13">
        <v>1.1000000000000001</v>
      </c>
      <c r="Z15" s="13">
        <v>0.09</v>
      </c>
      <c r="AA15" s="13">
        <v>12</v>
      </c>
      <c r="AB15" s="13">
        <v>1.8</v>
      </c>
      <c r="AC15" s="13">
        <v>1.1000000000000001</v>
      </c>
      <c r="AE15" s="14">
        <f t="shared" si="3"/>
        <v>41.25</v>
      </c>
      <c r="AF15" s="13">
        <v>41</v>
      </c>
      <c r="AG15" s="13">
        <f t="shared" si="0"/>
        <v>4.2056074766355075E-2</v>
      </c>
    </row>
    <row r="16" spans="1:35" s="13" customFormat="1" x14ac:dyDescent="0.3">
      <c r="A16" s="10">
        <v>6312977915</v>
      </c>
      <c r="B16" s="10" t="s">
        <v>0</v>
      </c>
      <c r="C16" s="10" t="s">
        <v>1</v>
      </c>
      <c r="D16" s="10">
        <v>63</v>
      </c>
      <c r="E16" s="10">
        <v>129</v>
      </c>
      <c r="F16" s="10">
        <v>779</v>
      </c>
      <c r="G16" s="10">
        <v>15</v>
      </c>
      <c r="H16" s="10" t="s">
        <v>35</v>
      </c>
      <c r="I16" s="11" t="s">
        <v>49</v>
      </c>
      <c r="J16" s="10">
        <v>4326</v>
      </c>
      <c r="K16" s="10">
        <v>1.0452999999999999</v>
      </c>
      <c r="L16" s="10" t="s">
        <v>123</v>
      </c>
      <c r="M16" s="10">
        <v>106404354</v>
      </c>
      <c r="N16" s="21">
        <v>45014</v>
      </c>
      <c r="O16" s="19">
        <v>45062</v>
      </c>
      <c r="P16" s="19">
        <v>45062</v>
      </c>
      <c r="Q16" s="13" t="s">
        <v>119</v>
      </c>
      <c r="R16" s="13">
        <v>233430</v>
      </c>
      <c r="S16" s="13">
        <v>6312977915</v>
      </c>
      <c r="T16" s="10">
        <v>1.21</v>
      </c>
      <c r="U16" s="13">
        <v>30</v>
      </c>
      <c r="V16" s="13">
        <v>0</v>
      </c>
      <c r="W16" s="13" t="s">
        <v>120</v>
      </c>
      <c r="X16" s="13" t="s">
        <v>121</v>
      </c>
      <c r="Y16" s="13">
        <v>1</v>
      </c>
      <c r="Z16" s="13">
        <v>0.1</v>
      </c>
      <c r="AA16" s="13">
        <v>10</v>
      </c>
      <c r="AB16" s="13">
        <v>1.8</v>
      </c>
      <c r="AC16" s="13">
        <v>1</v>
      </c>
      <c r="AE16" s="14">
        <f t="shared" si="3"/>
        <v>36.299999999999997</v>
      </c>
      <c r="AF16" s="13">
        <v>36</v>
      </c>
      <c r="AG16" s="13">
        <f t="shared" si="0"/>
        <v>0.15887850467289713</v>
      </c>
    </row>
    <row r="17" spans="1:34" s="13" customFormat="1" x14ac:dyDescent="0.3">
      <c r="A17" s="10">
        <v>6312977916</v>
      </c>
      <c r="B17" s="10" t="s">
        <v>0</v>
      </c>
      <c r="C17" s="10" t="s">
        <v>1</v>
      </c>
      <c r="D17" s="10">
        <v>63</v>
      </c>
      <c r="E17" s="10">
        <v>129</v>
      </c>
      <c r="F17" s="10">
        <v>779</v>
      </c>
      <c r="G17" s="10">
        <v>16</v>
      </c>
      <c r="H17" s="10" t="s">
        <v>35</v>
      </c>
      <c r="I17" s="11" t="s">
        <v>50</v>
      </c>
      <c r="J17" s="10">
        <v>4326</v>
      </c>
      <c r="K17" s="10">
        <v>1.0452999999999999</v>
      </c>
      <c r="L17" s="10" t="s">
        <v>123</v>
      </c>
      <c r="M17" s="10">
        <v>106404354</v>
      </c>
      <c r="N17" s="21">
        <v>45014</v>
      </c>
      <c r="O17" s="19">
        <v>45062</v>
      </c>
      <c r="P17" s="19">
        <v>45062</v>
      </c>
      <c r="Q17" s="13" t="s">
        <v>119</v>
      </c>
      <c r="R17" s="13">
        <v>233431</v>
      </c>
      <c r="S17" s="13">
        <v>6312977916</v>
      </c>
      <c r="T17" s="10">
        <v>1.24</v>
      </c>
      <c r="U17" s="13">
        <v>30</v>
      </c>
      <c r="V17" s="13">
        <v>0</v>
      </c>
      <c r="W17" s="13" t="s">
        <v>120</v>
      </c>
      <c r="X17" s="13" t="s">
        <v>121</v>
      </c>
      <c r="Y17" s="13">
        <v>1</v>
      </c>
      <c r="Z17" s="13">
        <v>0.09</v>
      </c>
      <c r="AA17" s="13">
        <v>11</v>
      </c>
      <c r="AB17" s="13">
        <v>1.7</v>
      </c>
      <c r="AC17" s="13">
        <v>1</v>
      </c>
      <c r="AE17" s="14">
        <f t="shared" si="3"/>
        <v>37.200000000000003</v>
      </c>
      <c r="AF17" s="13">
        <v>37</v>
      </c>
      <c r="AG17" s="13">
        <f t="shared" si="0"/>
        <v>0.13551401869158872</v>
      </c>
    </row>
    <row r="18" spans="1:34" s="13" customFormat="1" x14ac:dyDescent="0.3">
      <c r="A18" s="10">
        <v>6312977917</v>
      </c>
      <c r="B18" s="10" t="s">
        <v>0</v>
      </c>
      <c r="C18" s="10" t="s">
        <v>1</v>
      </c>
      <c r="D18" s="10">
        <v>63</v>
      </c>
      <c r="E18" s="10">
        <v>129</v>
      </c>
      <c r="F18" s="10">
        <v>779</v>
      </c>
      <c r="G18" s="10">
        <v>17</v>
      </c>
      <c r="H18" s="10" t="s">
        <v>35</v>
      </c>
      <c r="I18" s="11" t="s">
        <v>51</v>
      </c>
      <c r="J18" s="10">
        <v>4326</v>
      </c>
      <c r="K18" s="10">
        <v>1.0452999999999999</v>
      </c>
      <c r="L18" s="10" t="s">
        <v>123</v>
      </c>
      <c r="M18" s="10">
        <v>106404354</v>
      </c>
      <c r="N18" s="21">
        <v>45014</v>
      </c>
      <c r="O18" s="19">
        <v>45062</v>
      </c>
      <c r="P18" s="19">
        <v>45062</v>
      </c>
      <c r="Q18" s="13" t="s">
        <v>119</v>
      </c>
      <c r="R18" s="13">
        <v>233432</v>
      </c>
      <c r="S18" s="13">
        <v>6312977917</v>
      </c>
      <c r="T18" s="10">
        <v>1.22</v>
      </c>
      <c r="U18" s="13">
        <v>30</v>
      </c>
      <c r="V18" s="13">
        <v>0</v>
      </c>
      <c r="W18" s="13" t="s">
        <v>120</v>
      </c>
      <c r="X18" s="13" t="s">
        <v>121</v>
      </c>
      <c r="Y18" s="13">
        <v>0.8</v>
      </c>
      <c r="Z18" s="13">
        <v>0.08</v>
      </c>
      <c r="AA18" s="13">
        <v>10</v>
      </c>
      <c r="AB18" s="13">
        <v>1.4</v>
      </c>
      <c r="AC18" s="13">
        <v>0.8</v>
      </c>
      <c r="AE18" s="14">
        <f t="shared" si="3"/>
        <v>29.28</v>
      </c>
      <c r="AF18" s="13">
        <v>29</v>
      </c>
      <c r="AG18" s="13">
        <f t="shared" si="0"/>
        <v>0.32242990654205606</v>
      </c>
    </row>
    <row r="19" spans="1:34" s="13" customFormat="1" x14ac:dyDescent="0.3">
      <c r="A19" s="10">
        <v>6312977918</v>
      </c>
      <c r="B19" s="10" t="s">
        <v>0</v>
      </c>
      <c r="C19" s="10" t="s">
        <v>1</v>
      </c>
      <c r="D19" s="10">
        <v>63</v>
      </c>
      <c r="E19" s="10">
        <v>129</v>
      </c>
      <c r="F19" s="10">
        <v>779</v>
      </c>
      <c r="G19" s="10">
        <v>18</v>
      </c>
      <c r="H19" s="10" t="s">
        <v>35</v>
      </c>
      <c r="I19" s="11" t="s">
        <v>52</v>
      </c>
      <c r="J19" s="10">
        <v>4326</v>
      </c>
      <c r="K19" s="10">
        <v>1.0452999999999999</v>
      </c>
      <c r="L19" s="10" t="s">
        <v>123</v>
      </c>
      <c r="M19" s="10">
        <v>106404354</v>
      </c>
      <c r="N19" s="21">
        <v>45014</v>
      </c>
      <c r="O19" s="19">
        <v>45062</v>
      </c>
      <c r="P19" s="19">
        <v>45062</v>
      </c>
      <c r="Q19" s="13" t="s">
        <v>119</v>
      </c>
      <c r="R19" s="13">
        <v>233433</v>
      </c>
      <c r="S19" s="13">
        <v>6312977918</v>
      </c>
      <c r="T19" s="10">
        <v>1.21</v>
      </c>
      <c r="U19" s="13">
        <v>30</v>
      </c>
      <c r="V19" s="13">
        <v>0</v>
      </c>
      <c r="W19" s="13" t="s">
        <v>120</v>
      </c>
      <c r="X19" s="13" t="s">
        <v>121</v>
      </c>
      <c r="Y19" s="13">
        <v>0.8</v>
      </c>
      <c r="Z19" s="13">
        <v>0.09</v>
      </c>
      <c r="AA19" s="13">
        <v>9</v>
      </c>
      <c r="AB19" s="13">
        <v>1.4</v>
      </c>
      <c r="AC19" s="13">
        <v>0.8</v>
      </c>
      <c r="AE19" s="14">
        <f t="shared" si="3"/>
        <v>29.04</v>
      </c>
      <c r="AF19" s="13">
        <v>29</v>
      </c>
      <c r="AG19" s="13">
        <f t="shared" si="0"/>
        <v>0.32242990654205606</v>
      </c>
    </row>
    <row r="20" spans="1:34" s="13" customFormat="1" x14ac:dyDescent="0.3">
      <c r="A20" s="10">
        <v>6312977919</v>
      </c>
      <c r="B20" s="10" t="s">
        <v>0</v>
      </c>
      <c r="C20" s="10" t="s">
        <v>1</v>
      </c>
      <c r="D20" s="10">
        <v>63</v>
      </c>
      <c r="E20" s="10">
        <v>129</v>
      </c>
      <c r="F20" s="10">
        <v>779</v>
      </c>
      <c r="G20" s="10">
        <v>19</v>
      </c>
      <c r="H20" s="10" t="s">
        <v>35</v>
      </c>
      <c r="I20" s="11" t="s">
        <v>53</v>
      </c>
      <c r="J20" s="10">
        <v>4326</v>
      </c>
      <c r="K20" s="10">
        <v>1.0452999999999999</v>
      </c>
      <c r="L20" s="10" t="s">
        <v>123</v>
      </c>
      <c r="M20" s="10">
        <v>106404354</v>
      </c>
      <c r="N20" s="21">
        <v>45014</v>
      </c>
      <c r="O20" s="19">
        <v>45062</v>
      </c>
      <c r="P20" s="19">
        <v>45062</v>
      </c>
      <c r="Q20" s="13" t="s">
        <v>119</v>
      </c>
      <c r="R20" s="13">
        <v>233434</v>
      </c>
      <c r="S20" s="13">
        <v>6312977919</v>
      </c>
      <c r="T20" s="10">
        <v>1.2</v>
      </c>
      <c r="U20" s="13">
        <v>30</v>
      </c>
      <c r="V20" s="13">
        <v>0</v>
      </c>
      <c r="W20" s="13" t="s">
        <v>120</v>
      </c>
      <c r="X20" s="13" t="s">
        <v>121</v>
      </c>
      <c r="Y20" s="13">
        <v>1.3</v>
      </c>
      <c r="Z20" s="13">
        <v>0.13</v>
      </c>
      <c r="AA20" s="13">
        <v>9</v>
      </c>
      <c r="AB20" s="13">
        <v>2.1</v>
      </c>
      <c r="AC20" s="13">
        <v>1.2</v>
      </c>
      <c r="AE20" s="14">
        <f t="shared" si="3"/>
        <v>43.199999999999996</v>
      </c>
      <c r="AF20" s="13">
        <v>43</v>
      </c>
      <c r="AG20" s="13">
        <f t="shared" si="0"/>
        <v>4.6728971962617487E-3</v>
      </c>
    </row>
    <row r="21" spans="1:34" s="13" customFormat="1" x14ac:dyDescent="0.3">
      <c r="A21" s="10">
        <v>6312977920</v>
      </c>
      <c r="B21" s="10" t="s">
        <v>0</v>
      </c>
      <c r="C21" s="10" t="s">
        <v>1</v>
      </c>
      <c r="D21" s="10">
        <v>63</v>
      </c>
      <c r="E21" s="10">
        <v>129</v>
      </c>
      <c r="F21" s="10">
        <v>779</v>
      </c>
      <c r="G21" s="10">
        <v>20</v>
      </c>
      <c r="H21" s="10" t="s">
        <v>35</v>
      </c>
      <c r="I21" s="11" t="s">
        <v>54</v>
      </c>
      <c r="J21" s="10">
        <v>4326</v>
      </c>
      <c r="K21" s="10">
        <v>1.0359</v>
      </c>
      <c r="L21" s="10" t="s">
        <v>123</v>
      </c>
      <c r="M21" s="10">
        <v>106404354</v>
      </c>
      <c r="N21" s="21">
        <v>45014</v>
      </c>
      <c r="O21" s="19">
        <v>45062</v>
      </c>
      <c r="P21" s="19">
        <v>45062</v>
      </c>
      <c r="Q21" s="13" t="s">
        <v>119</v>
      </c>
      <c r="R21" s="13">
        <v>233435</v>
      </c>
      <c r="S21" s="13">
        <v>6312977920</v>
      </c>
      <c r="T21" s="10">
        <v>1.23</v>
      </c>
      <c r="U21" s="13">
        <v>30</v>
      </c>
      <c r="V21" s="13">
        <v>0</v>
      </c>
      <c r="W21" s="13" t="s">
        <v>120</v>
      </c>
      <c r="X21" s="13" t="s">
        <v>121</v>
      </c>
      <c r="Y21" s="13">
        <v>0.8</v>
      </c>
      <c r="Z21" s="13">
        <v>0.08</v>
      </c>
      <c r="AA21" s="13">
        <v>10</v>
      </c>
      <c r="AB21" s="13">
        <v>1.3</v>
      </c>
      <c r="AC21" s="13">
        <v>0.8</v>
      </c>
      <c r="AE21" s="14">
        <f t="shared" si="3"/>
        <v>29.52</v>
      </c>
      <c r="AF21" s="13">
        <v>30</v>
      </c>
      <c r="AG21" s="13">
        <f t="shared" si="0"/>
        <v>0.29906542056074764</v>
      </c>
    </row>
    <row r="22" spans="1:34" x14ac:dyDescent="0.3">
      <c r="A22" s="4">
        <v>6312924011</v>
      </c>
      <c r="B22" s="4" t="s">
        <v>0</v>
      </c>
      <c r="C22" s="4" t="s">
        <v>1</v>
      </c>
      <c r="D22" s="4">
        <v>63</v>
      </c>
      <c r="E22" s="4">
        <v>129</v>
      </c>
      <c r="F22" s="4">
        <v>2401</v>
      </c>
      <c r="G22" s="4">
        <v>1</v>
      </c>
      <c r="H22" s="4" t="s">
        <v>56</v>
      </c>
      <c r="I22" s="8" t="s">
        <v>55</v>
      </c>
      <c r="J22" s="4">
        <v>4326</v>
      </c>
      <c r="K22" s="4">
        <v>1.0087999999999999</v>
      </c>
      <c r="L22" s="4" t="s">
        <v>124</v>
      </c>
      <c r="M22" s="4">
        <v>106404354</v>
      </c>
      <c r="N22" s="21">
        <v>45014</v>
      </c>
      <c r="O22" s="20">
        <v>45035</v>
      </c>
      <c r="P22" s="20">
        <v>45062</v>
      </c>
      <c r="Q22" s="2" t="s">
        <v>119</v>
      </c>
      <c r="R22" s="2">
        <v>231639</v>
      </c>
      <c r="S22" s="2">
        <v>6312924011</v>
      </c>
      <c r="T22" s="4">
        <v>1.2</v>
      </c>
      <c r="U22" s="2">
        <v>30</v>
      </c>
      <c r="V22" s="2">
        <v>0</v>
      </c>
      <c r="W22" s="2" t="s">
        <v>120</v>
      </c>
      <c r="X22" s="2">
        <v>0.1</v>
      </c>
      <c r="Y22" s="2">
        <v>1.6</v>
      </c>
      <c r="Z22" s="2">
        <v>0.15</v>
      </c>
      <c r="AA22" s="2">
        <v>10</v>
      </c>
      <c r="AB22" s="2">
        <v>2.6</v>
      </c>
      <c r="AC22" s="2">
        <v>1.5</v>
      </c>
      <c r="AE22" s="9">
        <f>T22*U22*AC22</f>
        <v>54</v>
      </c>
      <c r="AF22" s="2">
        <v>54</v>
      </c>
      <c r="AH22" s="2">
        <f>_xlfn.STDEV.P(AF22:AF56)</f>
        <v>10.918398626695609</v>
      </c>
    </row>
    <row r="23" spans="1:34" x14ac:dyDescent="0.3">
      <c r="A23" s="4">
        <v>6312924012</v>
      </c>
      <c r="B23" s="4" t="s">
        <v>0</v>
      </c>
      <c r="C23" s="4" t="s">
        <v>1</v>
      </c>
      <c r="D23" s="4">
        <v>63</v>
      </c>
      <c r="E23" s="4">
        <v>129</v>
      </c>
      <c r="F23" s="4">
        <v>2401</v>
      </c>
      <c r="G23" s="4">
        <v>2</v>
      </c>
      <c r="H23" s="4" t="s">
        <v>56</v>
      </c>
      <c r="I23" s="8" t="s">
        <v>57</v>
      </c>
      <c r="J23" s="4">
        <v>4326</v>
      </c>
      <c r="K23" s="4">
        <v>1.0087999999999999</v>
      </c>
      <c r="L23" s="4" t="s">
        <v>124</v>
      </c>
      <c r="M23" s="4">
        <v>106404354</v>
      </c>
      <c r="N23" s="21">
        <v>45014</v>
      </c>
      <c r="O23" s="20">
        <v>45035</v>
      </c>
      <c r="P23" s="20">
        <v>45062</v>
      </c>
      <c r="Q23" s="2" t="s">
        <v>119</v>
      </c>
      <c r="R23" s="2">
        <v>231640</v>
      </c>
      <c r="S23" s="2">
        <v>6312924012</v>
      </c>
      <c r="T23" s="4">
        <v>1.17</v>
      </c>
      <c r="U23" s="2">
        <v>30</v>
      </c>
      <c r="V23" s="2">
        <v>0</v>
      </c>
      <c r="W23" s="2" t="s">
        <v>120</v>
      </c>
      <c r="X23" s="2" t="s">
        <v>121</v>
      </c>
      <c r="Y23" s="2">
        <v>1.6</v>
      </c>
      <c r="Z23" s="2">
        <v>0.14000000000000001</v>
      </c>
      <c r="AA23" s="2">
        <v>11</v>
      </c>
      <c r="AB23" s="2">
        <v>2.8</v>
      </c>
      <c r="AC23" s="2">
        <v>1.6</v>
      </c>
      <c r="AE23" s="9">
        <f t="shared" ref="AE23:AE82" si="4">T23*U23*AC23</f>
        <v>56.16</v>
      </c>
      <c r="AF23" s="2">
        <v>56</v>
      </c>
    </row>
    <row r="24" spans="1:34" x14ac:dyDescent="0.3">
      <c r="A24" s="4">
        <v>6312924013</v>
      </c>
      <c r="B24" s="4" t="s">
        <v>0</v>
      </c>
      <c r="C24" s="4" t="s">
        <v>1</v>
      </c>
      <c r="D24" s="4">
        <v>63</v>
      </c>
      <c r="E24" s="4">
        <v>129</v>
      </c>
      <c r="F24" s="4">
        <v>2401</v>
      </c>
      <c r="G24" s="4">
        <v>3</v>
      </c>
      <c r="H24" s="4" t="s">
        <v>56</v>
      </c>
      <c r="I24" s="8" t="s">
        <v>58</v>
      </c>
      <c r="J24" s="4">
        <v>4326</v>
      </c>
      <c r="K24" s="4">
        <v>1.0087999999999999</v>
      </c>
      <c r="L24" s="4" t="s">
        <v>124</v>
      </c>
      <c r="M24" s="4">
        <v>106404354</v>
      </c>
      <c r="N24" s="21">
        <v>45014</v>
      </c>
      <c r="O24" s="20">
        <v>45035</v>
      </c>
      <c r="P24" s="20">
        <v>45062</v>
      </c>
      <c r="Q24" s="2" t="s">
        <v>119</v>
      </c>
      <c r="R24" s="2">
        <v>231641</v>
      </c>
      <c r="S24" s="2">
        <v>6312924013</v>
      </c>
      <c r="T24" s="4">
        <v>1.17</v>
      </c>
      <c r="U24" s="2">
        <v>30</v>
      </c>
      <c r="V24" s="2">
        <v>0</v>
      </c>
      <c r="W24" s="2" t="s">
        <v>120</v>
      </c>
      <c r="X24" s="2" t="s">
        <v>121</v>
      </c>
      <c r="Y24" s="2">
        <v>2</v>
      </c>
      <c r="Z24" s="2">
        <v>0.16</v>
      </c>
      <c r="AA24" s="2">
        <v>13</v>
      </c>
      <c r="AB24" s="2">
        <v>3.4</v>
      </c>
      <c r="AC24" s="2">
        <v>2</v>
      </c>
      <c r="AE24" s="9">
        <f t="shared" si="4"/>
        <v>70.199999999999989</v>
      </c>
      <c r="AF24" s="2">
        <v>70</v>
      </c>
    </row>
    <row r="25" spans="1:34" x14ac:dyDescent="0.3">
      <c r="A25" s="4">
        <v>6312924014</v>
      </c>
      <c r="B25" s="4" t="s">
        <v>0</v>
      </c>
      <c r="C25" s="4" t="s">
        <v>1</v>
      </c>
      <c r="D25" s="4">
        <v>63</v>
      </c>
      <c r="E25" s="4">
        <v>129</v>
      </c>
      <c r="F25" s="4">
        <v>2401</v>
      </c>
      <c r="G25" s="4">
        <v>4</v>
      </c>
      <c r="H25" s="4" t="s">
        <v>56</v>
      </c>
      <c r="I25" s="8" t="s">
        <v>59</v>
      </c>
      <c r="J25" s="4">
        <v>4326</v>
      </c>
      <c r="K25" s="4">
        <v>1.0087999999999999</v>
      </c>
      <c r="L25" s="4" t="s">
        <v>124</v>
      </c>
      <c r="M25" s="4">
        <v>106404354</v>
      </c>
      <c r="N25" s="21">
        <v>45014</v>
      </c>
      <c r="O25" s="20">
        <v>45035</v>
      </c>
      <c r="P25" s="20">
        <v>45062</v>
      </c>
      <c r="Q25" s="2" t="s">
        <v>119</v>
      </c>
      <c r="R25" s="2">
        <v>231642</v>
      </c>
      <c r="S25" s="2">
        <v>6312924014</v>
      </c>
      <c r="T25" s="4">
        <v>1.18</v>
      </c>
      <c r="U25" s="2">
        <v>30</v>
      </c>
      <c r="V25" s="2">
        <v>0</v>
      </c>
      <c r="W25" s="2" t="s">
        <v>120</v>
      </c>
      <c r="X25" s="2" t="s">
        <v>121</v>
      </c>
      <c r="Y25" s="2">
        <v>1.7</v>
      </c>
      <c r="Z25" s="2">
        <v>0.2</v>
      </c>
      <c r="AA25" s="2">
        <v>9</v>
      </c>
      <c r="AB25" s="2">
        <v>2.9</v>
      </c>
      <c r="AC25" s="2">
        <v>1.7</v>
      </c>
      <c r="AE25" s="9">
        <f t="shared" si="4"/>
        <v>60.179999999999993</v>
      </c>
      <c r="AF25" s="2">
        <v>60</v>
      </c>
    </row>
    <row r="26" spans="1:34" x14ac:dyDescent="0.3">
      <c r="A26" s="4">
        <v>6312924015</v>
      </c>
      <c r="B26" s="4" t="s">
        <v>0</v>
      </c>
      <c r="C26" s="4" t="s">
        <v>1</v>
      </c>
      <c r="D26" s="4">
        <v>63</v>
      </c>
      <c r="E26" s="4">
        <v>129</v>
      </c>
      <c r="F26" s="4">
        <v>2401</v>
      </c>
      <c r="G26" s="4">
        <v>5</v>
      </c>
      <c r="H26" s="4" t="s">
        <v>56</v>
      </c>
      <c r="I26" s="8" t="s">
        <v>60</v>
      </c>
      <c r="J26" s="4">
        <v>4326</v>
      </c>
      <c r="K26" s="4">
        <v>1.0087999999999999</v>
      </c>
      <c r="L26" s="4" t="s">
        <v>124</v>
      </c>
      <c r="M26" s="4">
        <v>106404354</v>
      </c>
      <c r="N26" s="21">
        <v>45014</v>
      </c>
      <c r="O26" s="20">
        <v>45035</v>
      </c>
      <c r="P26" s="20">
        <v>45062</v>
      </c>
      <c r="Q26" s="2" t="s">
        <v>119</v>
      </c>
      <c r="R26" s="2">
        <v>231643</v>
      </c>
      <c r="S26" s="2">
        <v>6312924015</v>
      </c>
      <c r="T26" s="4">
        <v>1.2</v>
      </c>
      <c r="U26" s="2">
        <v>30</v>
      </c>
      <c r="V26" s="2">
        <v>0</v>
      </c>
      <c r="W26" s="2" t="s">
        <v>120</v>
      </c>
      <c r="X26" s="2" t="s">
        <v>121</v>
      </c>
      <c r="Y26" s="2">
        <v>1.9</v>
      </c>
      <c r="Z26" s="2">
        <v>0.18</v>
      </c>
      <c r="AA26" s="2">
        <v>10</v>
      </c>
      <c r="AB26" s="2">
        <v>3.1</v>
      </c>
      <c r="AC26" s="2">
        <v>1.8</v>
      </c>
      <c r="AE26" s="9">
        <f t="shared" si="4"/>
        <v>64.8</v>
      </c>
      <c r="AF26" s="2">
        <v>65</v>
      </c>
    </row>
    <row r="27" spans="1:34" x14ac:dyDescent="0.3">
      <c r="A27" s="4">
        <v>6312924016</v>
      </c>
      <c r="B27" s="4" t="s">
        <v>0</v>
      </c>
      <c r="C27" s="4" t="s">
        <v>1</v>
      </c>
      <c r="D27" s="4">
        <v>63</v>
      </c>
      <c r="E27" s="4">
        <v>129</v>
      </c>
      <c r="F27" s="4">
        <v>2401</v>
      </c>
      <c r="G27" s="4">
        <v>6</v>
      </c>
      <c r="H27" s="4" t="s">
        <v>56</v>
      </c>
      <c r="I27" s="8" t="s">
        <v>61</v>
      </c>
      <c r="J27" s="4">
        <v>4326</v>
      </c>
      <c r="K27" s="4">
        <v>1.0087999999999999</v>
      </c>
      <c r="L27" s="4" t="s">
        <v>124</v>
      </c>
      <c r="M27" s="4">
        <v>106404354</v>
      </c>
      <c r="N27" s="21">
        <v>45014</v>
      </c>
      <c r="O27" s="20">
        <v>45035</v>
      </c>
      <c r="P27" s="20">
        <v>45062</v>
      </c>
      <c r="Q27" s="2" t="s">
        <v>119</v>
      </c>
      <c r="R27" s="2">
        <v>231644</v>
      </c>
      <c r="S27" s="2">
        <v>6312924016</v>
      </c>
      <c r="T27" s="4">
        <v>1.2</v>
      </c>
      <c r="U27" s="2">
        <v>30</v>
      </c>
      <c r="V27" s="2">
        <v>0</v>
      </c>
      <c r="W27" s="2" t="s">
        <v>120</v>
      </c>
      <c r="X27" s="2" t="s">
        <v>121</v>
      </c>
      <c r="Y27" s="2">
        <v>1.3</v>
      </c>
      <c r="Z27" s="2">
        <v>0.14000000000000001</v>
      </c>
      <c r="AA27" s="2">
        <v>9</v>
      </c>
      <c r="AB27" s="2">
        <v>2.2999999999999998</v>
      </c>
      <c r="AC27" s="2">
        <v>1.3</v>
      </c>
      <c r="AE27" s="9">
        <f t="shared" si="4"/>
        <v>46.800000000000004</v>
      </c>
      <c r="AF27" s="2">
        <v>47</v>
      </c>
    </row>
    <row r="28" spans="1:34" x14ac:dyDescent="0.3">
      <c r="A28" s="4">
        <v>6312924017</v>
      </c>
      <c r="B28" s="4" t="s">
        <v>0</v>
      </c>
      <c r="C28" s="4" t="s">
        <v>1</v>
      </c>
      <c r="D28" s="4">
        <v>63</v>
      </c>
      <c r="E28" s="4">
        <v>129</v>
      </c>
      <c r="F28" s="4">
        <v>2401</v>
      </c>
      <c r="G28" s="4">
        <v>7</v>
      </c>
      <c r="H28" s="4" t="s">
        <v>56</v>
      </c>
      <c r="I28" s="8" t="s">
        <v>62</v>
      </c>
      <c r="J28" s="4">
        <v>4326</v>
      </c>
      <c r="K28" s="4">
        <v>1.0087999999999999</v>
      </c>
      <c r="L28" s="4" t="s">
        <v>124</v>
      </c>
      <c r="M28" s="4">
        <v>106404354</v>
      </c>
      <c r="N28" s="21">
        <v>45014</v>
      </c>
      <c r="O28" s="20">
        <v>45035</v>
      </c>
      <c r="P28" s="20">
        <v>45062</v>
      </c>
      <c r="Q28" s="2" t="s">
        <v>119</v>
      </c>
      <c r="R28" s="2">
        <v>231645</v>
      </c>
      <c r="S28" s="2">
        <v>6312924017</v>
      </c>
      <c r="T28" s="4">
        <v>1.1499999999999999</v>
      </c>
      <c r="U28" s="2">
        <v>30</v>
      </c>
      <c r="V28" s="2">
        <v>0</v>
      </c>
      <c r="W28" s="2" t="s">
        <v>120</v>
      </c>
      <c r="X28" s="2" t="s">
        <v>121</v>
      </c>
      <c r="Y28" s="2">
        <v>1.6</v>
      </c>
      <c r="Z28" s="2">
        <v>0.13</v>
      </c>
      <c r="AA28" s="2">
        <v>12</v>
      </c>
      <c r="AB28" s="2">
        <v>2.7</v>
      </c>
      <c r="AC28" s="2">
        <v>1.5</v>
      </c>
      <c r="AE28" s="9">
        <f t="shared" si="4"/>
        <v>51.75</v>
      </c>
      <c r="AF28" s="2">
        <v>52</v>
      </c>
    </row>
    <row r="29" spans="1:34" x14ac:dyDescent="0.3">
      <c r="A29" s="4">
        <v>6312924018</v>
      </c>
      <c r="B29" s="4" t="s">
        <v>0</v>
      </c>
      <c r="C29" s="4" t="s">
        <v>1</v>
      </c>
      <c r="D29" s="4">
        <v>63</v>
      </c>
      <c r="E29" s="4">
        <v>129</v>
      </c>
      <c r="F29" s="4">
        <v>2401</v>
      </c>
      <c r="G29" s="4">
        <v>8</v>
      </c>
      <c r="H29" s="4" t="s">
        <v>56</v>
      </c>
      <c r="I29" s="8" t="s">
        <v>63</v>
      </c>
      <c r="J29" s="4">
        <v>4326</v>
      </c>
      <c r="K29" s="4">
        <v>1.0087999999999999</v>
      </c>
      <c r="L29" s="4" t="s">
        <v>124</v>
      </c>
      <c r="M29" s="4">
        <v>106404354</v>
      </c>
      <c r="N29" s="21">
        <v>45014</v>
      </c>
      <c r="O29" s="20">
        <v>45035</v>
      </c>
      <c r="P29" s="20">
        <v>45062</v>
      </c>
      <c r="Q29" s="2" t="s">
        <v>119</v>
      </c>
      <c r="R29" s="2">
        <v>231646</v>
      </c>
      <c r="S29" s="2">
        <v>6312924018</v>
      </c>
      <c r="T29" s="4">
        <v>1.1599999999999999</v>
      </c>
      <c r="U29" s="2">
        <v>30</v>
      </c>
      <c r="V29" s="2">
        <v>0</v>
      </c>
      <c r="W29" s="2" t="s">
        <v>120</v>
      </c>
      <c r="X29" s="2" t="s">
        <v>121</v>
      </c>
      <c r="Y29" s="2">
        <v>1.9</v>
      </c>
      <c r="Z29" s="2">
        <v>0.17</v>
      </c>
      <c r="AA29" s="2">
        <v>11</v>
      </c>
      <c r="AB29" s="2">
        <v>3.2</v>
      </c>
      <c r="AC29" s="2">
        <v>1.8</v>
      </c>
      <c r="AE29" s="9">
        <f t="shared" si="4"/>
        <v>62.639999999999993</v>
      </c>
      <c r="AF29" s="2">
        <v>63</v>
      </c>
    </row>
    <row r="30" spans="1:34" x14ac:dyDescent="0.3">
      <c r="A30" s="4">
        <v>6312924019</v>
      </c>
      <c r="B30" s="4" t="s">
        <v>0</v>
      </c>
      <c r="C30" s="4" t="s">
        <v>1</v>
      </c>
      <c r="D30" s="4">
        <v>63</v>
      </c>
      <c r="E30" s="4">
        <v>129</v>
      </c>
      <c r="F30" s="4">
        <v>2401</v>
      </c>
      <c r="G30" s="4">
        <v>9</v>
      </c>
      <c r="H30" s="4" t="s">
        <v>56</v>
      </c>
      <c r="I30" s="8" t="s">
        <v>64</v>
      </c>
      <c r="J30" s="4">
        <v>4326</v>
      </c>
      <c r="K30" s="4">
        <v>1.0087999999999999</v>
      </c>
      <c r="L30" s="4" t="s">
        <v>124</v>
      </c>
      <c r="M30" s="4">
        <v>106404354</v>
      </c>
      <c r="N30" s="21">
        <v>45014</v>
      </c>
      <c r="O30" s="20">
        <v>45035</v>
      </c>
      <c r="P30" s="20">
        <v>45062</v>
      </c>
      <c r="Q30" s="2" t="s">
        <v>119</v>
      </c>
      <c r="R30" s="2">
        <v>231647</v>
      </c>
      <c r="S30" s="2">
        <v>6312924019</v>
      </c>
      <c r="T30" s="4">
        <v>1.17</v>
      </c>
      <c r="U30" s="2">
        <v>30</v>
      </c>
      <c r="V30" s="2">
        <v>0</v>
      </c>
      <c r="W30" s="2" t="s">
        <v>120</v>
      </c>
      <c r="X30" s="2">
        <v>0.1</v>
      </c>
      <c r="Y30" s="2">
        <v>1.6</v>
      </c>
      <c r="Z30" s="2">
        <v>0.14000000000000001</v>
      </c>
      <c r="AA30" s="2">
        <v>10</v>
      </c>
      <c r="AB30" s="2">
        <v>2.5</v>
      </c>
      <c r="AC30" s="2">
        <v>1.4</v>
      </c>
      <c r="AE30" s="9">
        <f t="shared" si="4"/>
        <v>49.139999999999986</v>
      </c>
      <c r="AF30" s="2">
        <v>49</v>
      </c>
    </row>
    <row r="31" spans="1:34" x14ac:dyDescent="0.3">
      <c r="A31" s="4">
        <v>63129240110</v>
      </c>
      <c r="B31" s="4" t="s">
        <v>0</v>
      </c>
      <c r="C31" s="4" t="s">
        <v>1</v>
      </c>
      <c r="D31" s="4">
        <v>63</v>
      </c>
      <c r="E31" s="4">
        <v>129</v>
      </c>
      <c r="F31" s="4">
        <v>2401</v>
      </c>
      <c r="G31" s="4">
        <v>10</v>
      </c>
      <c r="H31" s="4" t="s">
        <v>56</v>
      </c>
      <c r="I31" s="8" t="s">
        <v>65</v>
      </c>
      <c r="J31" s="4">
        <v>4326</v>
      </c>
      <c r="K31" s="4">
        <v>1.0087999999999999</v>
      </c>
      <c r="L31" s="4" t="s">
        <v>124</v>
      </c>
      <c r="M31" s="4">
        <v>106404354</v>
      </c>
      <c r="N31" s="21">
        <v>45014</v>
      </c>
      <c r="O31" s="20">
        <v>45035</v>
      </c>
      <c r="P31" s="20">
        <v>45062</v>
      </c>
      <c r="Q31" s="2" t="s">
        <v>119</v>
      </c>
      <c r="R31" s="2">
        <v>231648</v>
      </c>
      <c r="S31" s="2">
        <v>63129240110</v>
      </c>
      <c r="T31" s="4">
        <v>1.1599999999999999</v>
      </c>
      <c r="U31" s="2">
        <v>30</v>
      </c>
      <c r="V31" s="2">
        <v>0</v>
      </c>
      <c r="W31" s="2" t="s">
        <v>120</v>
      </c>
      <c r="X31" s="2" t="s">
        <v>121</v>
      </c>
      <c r="Y31" s="2">
        <v>1.9</v>
      </c>
      <c r="Z31" s="2">
        <v>0.18</v>
      </c>
      <c r="AA31" s="2">
        <v>11</v>
      </c>
      <c r="AB31" s="2">
        <v>3.2</v>
      </c>
      <c r="AC31" s="2">
        <v>1.9</v>
      </c>
      <c r="AE31" s="9">
        <f t="shared" si="4"/>
        <v>66.11999999999999</v>
      </c>
      <c r="AF31" s="2">
        <v>66</v>
      </c>
    </row>
    <row r="32" spans="1:34" x14ac:dyDescent="0.3">
      <c r="A32" s="4">
        <v>63129240111</v>
      </c>
      <c r="B32" s="4" t="s">
        <v>0</v>
      </c>
      <c r="C32" s="4" t="s">
        <v>1</v>
      </c>
      <c r="D32" s="4">
        <v>63</v>
      </c>
      <c r="E32" s="4">
        <v>129</v>
      </c>
      <c r="F32" s="4">
        <v>2401</v>
      </c>
      <c r="G32" s="4">
        <v>11</v>
      </c>
      <c r="H32" s="4" t="s">
        <v>56</v>
      </c>
      <c r="I32" s="8" t="s">
        <v>66</v>
      </c>
      <c r="J32" s="4">
        <v>4326</v>
      </c>
      <c r="K32" s="4">
        <v>1.0087999999999999</v>
      </c>
      <c r="L32" s="4" t="s">
        <v>124</v>
      </c>
      <c r="M32" s="4">
        <v>106404354</v>
      </c>
      <c r="N32" s="21">
        <v>45014</v>
      </c>
      <c r="O32" s="20">
        <v>45035</v>
      </c>
      <c r="P32" s="20">
        <v>45062</v>
      </c>
      <c r="Q32" s="2" t="s">
        <v>119</v>
      </c>
      <c r="R32" s="2">
        <v>231649</v>
      </c>
      <c r="S32" s="2">
        <v>63129240111</v>
      </c>
      <c r="T32" s="4">
        <v>1.1399999999999999</v>
      </c>
      <c r="U32" s="2">
        <v>30</v>
      </c>
      <c r="V32" s="2">
        <v>0</v>
      </c>
      <c r="W32" s="2" t="s">
        <v>120</v>
      </c>
      <c r="X32" s="2" t="s">
        <v>121</v>
      </c>
      <c r="Y32" s="2">
        <v>1.2</v>
      </c>
      <c r="Z32" s="2">
        <v>0.12</v>
      </c>
      <c r="AA32" s="2">
        <v>9</v>
      </c>
      <c r="AB32" s="2">
        <v>1.9</v>
      </c>
      <c r="AC32" s="2">
        <v>1.1000000000000001</v>
      </c>
      <c r="AE32" s="9">
        <f t="shared" si="4"/>
        <v>37.619999999999997</v>
      </c>
      <c r="AF32" s="2">
        <v>38</v>
      </c>
    </row>
    <row r="33" spans="1:32" x14ac:dyDescent="0.3">
      <c r="A33" s="4">
        <v>63129240112</v>
      </c>
      <c r="B33" s="4" t="s">
        <v>0</v>
      </c>
      <c r="C33" s="4" t="s">
        <v>1</v>
      </c>
      <c r="D33" s="4">
        <v>63</v>
      </c>
      <c r="E33" s="4">
        <v>129</v>
      </c>
      <c r="F33" s="4">
        <v>2401</v>
      </c>
      <c r="G33" s="4">
        <v>12</v>
      </c>
      <c r="H33" s="4" t="s">
        <v>56</v>
      </c>
      <c r="I33" s="8" t="s">
        <v>67</v>
      </c>
      <c r="J33" s="4">
        <v>4326</v>
      </c>
      <c r="K33" s="4">
        <v>1.0087999999999999</v>
      </c>
      <c r="L33" s="4" t="s">
        <v>124</v>
      </c>
      <c r="M33" s="4">
        <v>106404354</v>
      </c>
      <c r="N33" s="21">
        <v>45014</v>
      </c>
      <c r="O33" s="20">
        <v>45035</v>
      </c>
      <c r="P33" s="20">
        <v>45062</v>
      </c>
      <c r="Q33" s="2" t="s">
        <v>119</v>
      </c>
      <c r="R33" s="2">
        <v>231650</v>
      </c>
      <c r="S33" s="2">
        <v>63129240112</v>
      </c>
      <c r="T33" s="4">
        <v>1.2</v>
      </c>
      <c r="U33" s="2">
        <v>30</v>
      </c>
      <c r="V33" s="2">
        <v>0</v>
      </c>
      <c r="W33" s="2" t="s">
        <v>120</v>
      </c>
      <c r="X33" s="2" t="s">
        <v>121</v>
      </c>
      <c r="Y33" s="2">
        <v>1.6</v>
      </c>
      <c r="Z33" s="2">
        <v>0.13</v>
      </c>
      <c r="AA33" s="2">
        <v>12</v>
      </c>
      <c r="AB33" s="2">
        <v>2.7</v>
      </c>
      <c r="AC33" s="2">
        <v>1.5</v>
      </c>
      <c r="AE33" s="9">
        <f t="shared" si="4"/>
        <v>54</v>
      </c>
      <c r="AF33" s="2">
        <v>54</v>
      </c>
    </row>
    <row r="34" spans="1:32" x14ac:dyDescent="0.3">
      <c r="A34" s="4">
        <v>63129240113</v>
      </c>
      <c r="B34" s="4" t="s">
        <v>0</v>
      </c>
      <c r="C34" s="4" t="s">
        <v>1</v>
      </c>
      <c r="D34" s="4">
        <v>63</v>
      </c>
      <c r="E34" s="4">
        <v>129</v>
      </c>
      <c r="F34" s="4">
        <v>2401</v>
      </c>
      <c r="G34" s="4">
        <v>13</v>
      </c>
      <c r="H34" s="4" t="s">
        <v>56</v>
      </c>
      <c r="I34" s="8" t="s">
        <v>68</v>
      </c>
      <c r="J34" s="4">
        <v>4326</v>
      </c>
      <c r="K34" s="4">
        <v>1.0087999999999999</v>
      </c>
      <c r="L34" s="4" t="s">
        <v>124</v>
      </c>
      <c r="M34" s="4">
        <v>106404354</v>
      </c>
      <c r="N34" s="21">
        <v>45014</v>
      </c>
      <c r="O34" s="20">
        <v>45035</v>
      </c>
      <c r="P34" s="20">
        <v>45062</v>
      </c>
      <c r="Q34" s="2" t="s">
        <v>119</v>
      </c>
      <c r="R34" s="2">
        <v>231651</v>
      </c>
      <c r="S34" s="2">
        <v>63129240113</v>
      </c>
      <c r="T34" s="4">
        <v>1.19</v>
      </c>
      <c r="U34" s="2">
        <v>30</v>
      </c>
      <c r="V34" s="2">
        <v>0</v>
      </c>
      <c r="W34" s="2" t="s">
        <v>120</v>
      </c>
      <c r="X34" s="2" t="s">
        <v>121</v>
      </c>
      <c r="Y34" s="2">
        <v>1.4</v>
      </c>
      <c r="Z34" s="2">
        <v>0.13</v>
      </c>
      <c r="AA34" s="2">
        <v>10</v>
      </c>
      <c r="AB34" s="2">
        <v>2.2999999999999998</v>
      </c>
      <c r="AC34" s="2">
        <v>1.3</v>
      </c>
      <c r="AE34" s="9">
        <f t="shared" si="4"/>
        <v>46.41</v>
      </c>
      <c r="AF34" s="2">
        <v>46</v>
      </c>
    </row>
    <row r="35" spans="1:32" x14ac:dyDescent="0.3">
      <c r="A35" s="4">
        <v>63129240114</v>
      </c>
      <c r="B35" s="4" t="s">
        <v>0</v>
      </c>
      <c r="C35" s="4" t="s">
        <v>1</v>
      </c>
      <c r="D35" s="4">
        <v>63</v>
      </c>
      <c r="E35" s="4">
        <v>129</v>
      </c>
      <c r="F35" s="4">
        <v>2401</v>
      </c>
      <c r="G35" s="4">
        <v>14</v>
      </c>
      <c r="H35" s="4" t="s">
        <v>56</v>
      </c>
      <c r="I35" s="8" t="s">
        <v>69</v>
      </c>
      <c r="J35" s="4">
        <v>4326</v>
      </c>
      <c r="K35" s="4">
        <v>1.0087999999999999</v>
      </c>
      <c r="L35" s="4" t="s">
        <v>124</v>
      </c>
      <c r="M35" s="4">
        <v>106404354</v>
      </c>
      <c r="N35" s="21">
        <v>45014</v>
      </c>
      <c r="O35" s="20">
        <v>45035</v>
      </c>
      <c r="P35" s="20">
        <v>45062</v>
      </c>
      <c r="Q35" s="2" t="s">
        <v>119</v>
      </c>
      <c r="R35" s="2">
        <v>231652</v>
      </c>
      <c r="S35" s="2">
        <v>63129240114</v>
      </c>
      <c r="T35" s="4">
        <v>1.17</v>
      </c>
      <c r="U35" s="2">
        <v>30</v>
      </c>
      <c r="V35" s="2">
        <v>0</v>
      </c>
      <c r="W35" s="2" t="s">
        <v>120</v>
      </c>
      <c r="X35" s="2" t="s">
        <v>121</v>
      </c>
      <c r="Y35" s="2">
        <v>1.8</v>
      </c>
      <c r="Z35" s="2">
        <v>0.15</v>
      </c>
      <c r="AA35" s="2">
        <v>12</v>
      </c>
      <c r="AB35" s="2">
        <v>3.1</v>
      </c>
      <c r="AC35" s="2">
        <v>1.8</v>
      </c>
      <c r="AE35" s="9">
        <f t="shared" si="4"/>
        <v>63.179999999999993</v>
      </c>
      <c r="AF35" s="2">
        <v>63</v>
      </c>
    </row>
    <row r="36" spans="1:32" x14ac:dyDescent="0.3">
      <c r="A36" s="4">
        <v>63129240115</v>
      </c>
      <c r="B36" s="4" t="s">
        <v>0</v>
      </c>
      <c r="C36" s="4" t="s">
        <v>1</v>
      </c>
      <c r="D36" s="4">
        <v>63</v>
      </c>
      <c r="E36" s="4">
        <v>129</v>
      </c>
      <c r="F36" s="4">
        <v>2401</v>
      </c>
      <c r="G36" s="4">
        <v>15</v>
      </c>
      <c r="H36" s="4" t="s">
        <v>56</v>
      </c>
      <c r="I36" s="8" t="s">
        <v>70</v>
      </c>
      <c r="J36" s="4">
        <v>4326</v>
      </c>
      <c r="K36" s="4">
        <v>1.0087999999999999</v>
      </c>
      <c r="L36" s="4" t="s">
        <v>124</v>
      </c>
      <c r="M36" s="4">
        <v>106404354</v>
      </c>
      <c r="N36" s="21">
        <v>45014</v>
      </c>
      <c r="O36" s="20">
        <v>45035</v>
      </c>
      <c r="P36" s="20">
        <v>45062</v>
      </c>
      <c r="Q36" s="2" t="s">
        <v>119</v>
      </c>
      <c r="R36" s="2">
        <v>231653</v>
      </c>
      <c r="S36" s="2">
        <v>63129240115</v>
      </c>
      <c r="T36" s="4">
        <v>1.2</v>
      </c>
      <c r="U36" s="2">
        <v>30</v>
      </c>
      <c r="V36" s="2">
        <v>0</v>
      </c>
      <c r="W36" s="2" t="s">
        <v>120</v>
      </c>
      <c r="X36" s="2" t="s">
        <v>121</v>
      </c>
      <c r="Y36" s="2">
        <v>1.8</v>
      </c>
      <c r="Z36" s="2">
        <v>0.16</v>
      </c>
      <c r="AA36" s="2">
        <v>11</v>
      </c>
      <c r="AB36" s="2">
        <v>3</v>
      </c>
      <c r="AC36" s="2">
        <v>1.7</v>
      </c>
      <c r="AE36" s="9">
        <f t="shared" si="4"/>
        <v>61.199999999999996</v>
      </c>
      <c r="AF36" s="2">
        <v>61</v>
      </c>
    </row>
    <row r="37" spans="1:32" x14ac:dyDescent="0.3">
      <c r="A37" s="4">
        <v>63129240116</v>
      </c>
      <c r="B37" s="4" t="s">
        <v>0</v>
      </c>
      <c r="C37" s="4" t="s">
        <v>1</v>
      </c>
      <c r="D37" s="4">
        <v>63</v>
      </c>
      <c r="E37" s="4">
        <v>129</v>
      </c>
      <c r="F37" s="4">
        <v>2401</v>
      </c>
      <c r="G37" s="4">
        <v>16</v>
      </c>
      <c r="H37" s="4" t="s">
        <v>56</v>
      </c>
      <c r="I37" s="8" t="s">
        <v>71</v>
      </c>
      <c r="J37" s="4">
        <v>4326</v>
      </c>
      <c r="K37" s="4">
        <v>1.0087999999999999</v>
      </c>
      <c r="L37" s="4" t="s">
        <v>124</v>
      </c>
      <c r="M37" s="4">
        <v>106404354</v>
      </c>
      <c r="N37" s="21">
        <v>45014</v>
      </c>
      <c r="O37" s="20">
        <v>45035</v>
      </c>
      <c r="P37" s="20">
        <v>45062</v>
      </c>
      <c r="Q37" s="2" t="s">
        <v>119</v>
      </c>
      <c r="R37" s="2">
        <v>231654</v>
      </c>
      <c r="S37" s="2">
        <v>63129240116</v>
      </c>
      <c r="T37" s="4">
        <v>1.23</v>
      </c>
      <c r="U37" s="2">
        <v>30</v>
      </c>
      <c r="V37" s="2">
        <v>0</v>
      </c>
      <c r="W37" s="2" t="s">
        <v>120</v>
      </c>
      <c r="X37" s="2" t="s">
        <v>121</v>
      </c>
      <c r="Y37" s="2">
        <v>1.1000000000000001</v>
      </c>
      <c r="Z37" s="2">
        <v>0.11</v>
      </c>
      <c r="AA37" s="2">
        <v>9</v>
      </c>
      <c r="AB37" s="2">
        <v>1.8</v>
      </c>
      <c r="AC37" s="2">
        <v>1</v>
      </c>
      <c r="AE37" s="9">
        <f t="shared" si="4"/>
        <v>36.9</v>
      </c>
      <c r="AF37" s="2">
        <v>37</v>
      </c>
    </row>
    <row r="38" spans="1:32" x14ac:dyDescent="0.3">
      <c r="A38" s="4">
        <v>63129240117</v>
      </c>
      <c r="B38" s="4" t="s">
        <v>0</v>
      </c>
      <c r="C38" s="4" t="s">
        <v>1</v>
      </c>
      <c r="D38" s="4">
        <v>63</v>
      </c>
      <c r="E38" s="4">
        <v>129</v>
      </c>
      <c r="F38" s="4">
        <v>2401</v>
      </c>
      <c r="G38" s="4">
        <v>17</v>
      </c>
      <c r="H38" s="4" t="s">
        <v>56</v>
      </c>
      <c r="I38" s="8" t="s">
        <v>72</v>
      </c>
      <c r="J38" s="4">
        <v>4326</v>
      </c>
      <c r="K38" s="4">
        <v>1.0087999999999999</v>
      </c>
      <c r="L38" s="4" t="s">
        <v>124</v>
      </c>
      <c r="M38" s="4">
        <v>106404354</v>
      </c>
      <c r="N38" s="21">
        <v>45014</v>
      </c>
      <c r="O38" s="20">
        <v>45035</v>
      </c>
      <c r="P38" s="20">
        <v>45062</v>
      </c>
      <c r="Q38" s="2" t="s">
        <v>119</v>
      </c>
      <c r="R38" s="2">
        <v>231655</v>
      </c>
      <c r="S38" s="2">
        <v>63129240117</v>
      </c>
      <c r="T38" s="4">
        <v>1.22</v>
      </c>
      <c r="U38" s="2">
        <v>30</v>
      </c>
      <c r="V38" s="2">
        <v>0</v>
      </c>
      <c r="W38" s="2" t="s">
        <v>120</v>
      </c>
      <c r="X38" s="2" t="s">
        <v>121</v>
      </c>
      <c r="Y38" s="2">
        <v>1.2</v>
      </c>
      <c r="Z38" s="2">
        <v>0.12</v>
      </c>
      <c r="AA38" s="2">
        <v>10</v>
      </c>
      <c r="AB38" s="2">
        <v>2</v>
      </c>
      <c r="AC38" s="2">
        <v>1.2</v>
      </c>
      <c r="AE38" s="9">
        <f t="shared" si="4"/>
        <v>43.92</v>
      </c>
      <c r="AF38" s="2">
        <v>44</v>
      </c>
    </row>
    <row r="39" spans="1:32" x14ac:dyDescent="0.3">
      <c r="A39" s="4">
        <v>63129240118</v>
      </c>
      <c r="B39" s="4" t="s">
        <v>0</v>
      </c>
      <c r="C39" s="4" t="s">
        <v>1</v>
      </c>
      <c r="D39" s="4">
        <v>63</v>
      </c>
      <c r="E39" s="4">
        <v>129</v>
      </c>
      <c r="F39" s="4">
        <v>2401</v>
      </c>
      <c r="G39" s="4">
        <v>18</v>
      </c>
      <c r="H39" s="4" t="s">
        <v>56</v>
      </c>
      <c r="I39" s="8" t="s">
        <v>73</v>
      </c>
      <c r="J39" s="4">
        <v>4326</v>
      </c>
      <c r="K39" s="4">
        <v>1.0087999999999999</v>
      </c>
      <c r="L39" s="4" t="s">
        <v>124</v>
      </c>
      <c r="M39" s="4">
        <v>106404354</v>
      </c>
      <c r="N39" s="21">
        <v>45014</v>
      </c>
      <c r="O39" s="20">
        <v>45035</v>
      </c>
      <c r="P39" s="20">
        <v>45062</v>
      </c>
      <c r="Q39" s="2" t="s">
        <v>119</v>
      </c>
      <c r="R39" s="2">
        <v>231656</v>
      </c>
      <c r="S39" s="2">
        <v>63129240118</v>
      </c>
      <c r="T39" s="4">
        <v>1.22</v>
      </c>
      <c r="U39" s="2">
        <v>30</v>
      </c>
      <c r="V39" s="2">
        <v>0</v>
      </c>
      <c r="W39" s="2" t="s">
        <v>120</v>
      </c>
      <c r="X39" s="2" t="s">
        <v>121</v>
      </c>
      <c r="Y39" s="2">
        <v>1.6</v>
      </c>
      <c r="Z39" s="2">
        <v>0.14000000000000001</v>
      </c>
      <c r="AA39" s="2">
        <v>11</v>
      </c>
      <c r="AB39" s="2">
        <v>2.7</v>
      </c>
      <c r="AC39" s="2">
        <v>1.6</v>
      </c>
      <c r="AE39" s="9">
        <f t="shared" si="4"/>
        <v>58.56</v>
      </c>
      <c r="AF39" s="2">
        <v>59</v>
      </c>
    </row>
    <row r="40" spans="1:32" x14ac:dyDescent="0.3">
      <c r="A40" s="4">
        <v>63129240119</v>
      </c>
      <c r="B40" s="4" t="s">
        <v>0</v>
      </c>
      <c r="C40" s="4" t="s">
        <v>1</v>
      </c>
      <c r="D40" s="4">
        <v>63</v>
      </c>
      <c r="E40" s="4">
        <v>129</v>
      </c>
      <c r="F40" s="4">
        <v>2401</v>
      </c>
      <c r="G40" s="4">
        <v>19</v>
      </c>
      <c r="H40" s="4" t="s">
        <v>56</v>
      </c>
      <c r="I40" s="8" t="s">
        <v>74</v>
      </c>
      <c r="J40" s="4">
        <v>4326</v>
      </c>
      <c r="K40" s="4">
        <v>1.0087999999999999</v>
      </c>
      <c r="L40" s="4" t="s">
        <v>124</v>
      </c>
      <c r="M40" s="4">
        <v>106404354</v>
      </c>
      <c r="N40" s="21">
        <v>45014</v>
      </c>
      <c r="O40" s="20">
        <v>45035</v>
      </c>
      <c r="P40" s="20">
        <v>45062</v>
      </c>
      <c r="Q40" s="2" t="s">
        <v>119</v>
      </c>
      <c r="R40" s="2">
        <v>231657</v>
      </c>
      <c r="S40" s="2">
        <v>63129240119</v>
      </c>
      <c r="T40" s="4">
        <v>1.22</v>
      </c>
      <c r="U40" s="2">
        <v>30</v>
      </c>
      <c r="V40" s="2">
        <v>0</v>
      </c>
      <c r="W40" s="2" t="s">
        <v>120</v>
      </c>
      <c r="X40" s="2" t="s">
        <v>121</v>
      </c>
      <c r="Y40" s="2">
        <v>1.5</v>
      </c>
      <c r="Z40" s="2">
        <v>0.13</v>
      </c>
      <c r="AA40" s="2">
        <v>12</v>
      </c>
      <c r="AB40" s="2">
        <v>2.6</v>
      </c>
      <c r="AC40" s="2">
        <v>1.5</v>
      </c>
      <c r="AE40" s="9">
        <f t="shared" si="4"/>
        <v>54.900000000000006</v>
      </c>
      <c r="AF40" s="2">
        <v>55</v>
      </c>
    </row>
    <row r="41" spans="1:32" x14ac:dyDescent="0.3">
      <c r="A41" s="4">
        <v>63129240120</v>
      </c>
      <c r="B41" s="4" t="s">
        <v>0</v>
      </c>
      <c r="C41" s="4" t="s">
        <v>1</v>
      </c>
      <c r="D41" s="4">
        <v>63</v>
      </c>
      <c r="E41" s="4">
        <v>129</v>
      </c>
      <c r="F41" s="4">
        <v>2401</v>
      </c>
      <c r="G41" s="4">
        <v>20</v>
      </c>
      <c r="H41" s="4" t="s">
        <v>56</v>
      </c>
      <c r="I41" s="8" t="s">
        <v>75</v>
      </c>
      <c r="J41" s="4">
        <v>4326</v>
      </c>
      <c r="K41" s="4">
        <v>1.0087999999999999</v>
      </c>
      <c r="L41" s="4" t="s">
        <v>124</v>
      </c>
      <c r="M41" s="4">
        <v>106404354</v>
      </c>
      <c r="N41" s="21">
        <v>45014</v>
      </c>
      <c r="O41" s="20">
        <v>45035</v>
      </c>
      <c r="P41" s="20">
        <v>45062</v>
      </c>
      <c r="Q41" s="2" t="s">
        <v>119</v>
      </c>
      <c r="R41" s="2">
        <v>231658</v>
      </c>
      <c r="S41" s="2">
        <v>63129240120</v>
      </c>
      <c r="T41" s="4">
        <v>1.21</v>
      </c>
      <c r="U41" s="2">
        <v>30</v>
      </c>
      <c r="V41" s="2">
        <v>0</v>
      </c>
      <c r="W41" s="2" t="s">
        <v>120</v>
      </c>
      <c r="X41" s="2" t="s">
        <v>121</v>
      </c>
      <c r="Y41" s="2">
        <v>1.7</v>
      </c>
      <c r="Z41" s="2">
        <v>0.15</v>
      </c>
      <c r="AA41" s="2">
        <v>11</v>
      </c>
      <c r="AB41" s="2">
        <v>2.9</v>
      </c>
      <c r="AC41" s="2">
        <v>1.7</v>
      </c>
      <c r="AE41" s="9">
        <f t="shared" si="4"/>
        <v>61.709999999999994</v>
      </c>
      <c r="AF41" s="2">
        <v>62</v>
      </c>
    </row>
    <row r="42" spans="1:32" x14ac:dyDescent="0.3">
      <c r="A42" s="4">
        <v>63129240121</v>
      </c>
      <c r="B42" s="4" t="s">
        <v>0</v>
      </c>
      <c r="C42" s="4" t="s">
        <v>1</v>
      </c>
      <c r="D42" s="4">
        <v>63</v>
      </c>
      <c r="E42" s="4">
        <v>129</v>
      </c>
      <c r="F42" s="4">
        <v>2401</v>
      </c>
      <c r="G42" s="4">
        <v>21</v>
      </c>
      <c r="H42" s="4" t="s">
        <v>56</v>
      </c>
      <c r="I42" s="8" t="s">
        <v>76</v>
      </c>
      <c r="J42" s="4">
        <v>4326</v>
      </c>
      <c r="K42" s="4">
        <v>1.0087999999999999</v>
      </c>
      <c r="L42" s="4" t="s">
        <v>124</v>
      </c>
      <c r="M42" s="4">
        <v>106404354</v>
      </c>
      <c r="N42" s="21">
        <v>45014</v>
      </c>
      <c r="O42" s="20">
        <v>45035</v>
      </c>
      <c r="P42" s="20">
        <v>45062</v>
      </c>
      <c r="Q42" s="2" t="s">
        <v>119</v>
      </c>
      <c r="R42" s="2">
        <v>231659</v>
      </c>
      <c r="S42" s="2">
        <v>63129240121</v>
      </c>
      <c r="T42" s="4">
        <v>1.2</v>
      </c>
      <c r="U42" s="2">
        <v>30</v>
      </c>
      <c r="V42" s="2">
        <v>0</v>
      </c>
      <c r="W42" s="2" t="s">
        <v>122</v>
      </c>
      <c r="X42" s="2">
        <v>0.2</v>
      </c>
      <c r="Y42" s="2">
        <v>2.1</v>
      </c>
      <c r="Z42" s="2">
        <v>0.65</v>
      </c>
      <c r="AA42" s="2">
        <v>3</v>
      </c>
      <c r="AB42" s="2">
        <v>3.3</v>
      </c>
      <c r="AC42" s="2">
        <v>1.9</v>
      </c>
      <c r="AE42" s="9">
        <f t="shared" si="4"/>
        <v>68.399999999999991</v>
      </c>
      <c r="AF42" s="2">
        <v>68</v>
      </c>
    </row>
    <row r="43" spans="1:32" x14ac:dyDescent="0.3">
      <c r="A43" s="4">
        <v>63129240122</v>
      </c>
      <c r="B43" s="4" t="s">
        <v>0</v>
      </c>
      <c r="C43" s="4" t="s">
        <v>1</v>
      </c>
      <c r="D43" s="4">
        <v>63</v>
      </c>
      <c r="E43" s="4">
        <v>129</v>
      </c>
      <c r="F43" s="4">
        <v>2401</v>
      </c>
      <c r="G43" s="4">
        <v>22</v>
      </c>
      <c r="H43" s="4" t="s">
        <v>56</v>
      </c>
      <c r="I43" s="8" t="s">
        <v>77</v>
      </c>
      <c r="J43" s="4">
        <v>4326</v>
      </c>
      <c r="K43" s="4">
        <v>1.0087999999999999</v>
      </c>
      <c r="L43" s="4" t="s">
        <v>124</v>
      </c>
      <c r="M43" s="4">
        <v>106404354</v>
      </c>
      <c r="N43" s="21">
        <v>45014</v>
      </c>
      <c r="O43" s="20">
        <v>45035</v>
      </c>
      <c r="P43" s="20">
        <v>45062</v>
      </c>
      <c r="Q43" s="2" t="s">
        <v>119</v>
      </c>
      <c r="R43" s="2">
        <v>231660</v>
      </c>
      <c r="S43" s="2">
        <v>63129240122</v>
      </c>
      <c r="T43" s="4">
        <v>1.2</v>
      </c>
      <c r="U43" s="2">
        <v>30</v>
      </c>
      <c r="V43" s="2">
        <v>0</v>
      </c>
      <c r="W43" s="2" t="s">
        <v>120</v>
      </c>
      <c r="X43" s="2" t="s">
        <v>121</v>
      </c>
      <c r="Y43" s="2">
        <v>1</v>
      </c>
      <c r="Z43" s="2">
        <v>1.0900000000000001</v>
      </c>
      <c r="AA43" s="2">
        <v>1</v>
      </c>
      <c r="AB43" s="2">
        <v>1.7</v>
      </c>
      <c r="AC43" s="2">
        <v>1</v>
      </c>
      <c r="AE43" s="9">
        <f t="shared" si="4"/>
        <v>36</v>
      </c>
      <c r="AF43" s="2">
        <v>36</v>
      </c>
    </row>
    <row r="44" spans="1:32" x14ac:dyDescent="0.3">
      <c r="A44" s="4">
        <v>63129240123</v>
      </c>
      <c r="B44" s="4" t="s">
        <v>0</v>
      </c>
      <c r="C44" s="4" t="s">
        <v>1</v>
      </c>
      <c r="D44" s="4">
        <v>63</v>
      </c>
      <c r="E44" s="4">
        <v>129</v>
      </c>
      <c r="F44" s="4">
        <v>2401</v>
      </c>
      <c r="G44" s="4">
        <v>23</v>
      </c>
      <c r="H44" s="4" t="s">
        <v>56</v>
      </c>
      <c r="I44" s="8" t="s">
        <v>78</v>
      </c>
      <c r="J44" s="4">
        <v>4326</v>
      </c>
      <c r="K44" s="4">
        <v>1.0087999999999999</v>
      </c>
      <c r="L44" s="4" t="s">
        <v>124</v>
      </c>
      <c r="M44" s="4">
        <v>106404354</v>
      </c>
      <c r="N44" s="21">
        <v>45014</v>
      </c>
      <c r="O44" s="20">
        <v>45035</v>
      </c>
      <c r="P44" s="20">
        <v>45062</v>
      </c>
      <c r="Q44" s="2" t="s">
        <v>119</v>
      </c>
      <c r="R44" s="2">
        <v>231661</v>
      </c>
      <c r="S44" s="2">
        <v>63129240123</v>
      </c>
      <c r="T44" s="4">
        <v>1.2</v>
      </c>
      <c r="U44" s="2">
        <v>30</v>
      </c>
      <c r="V44" s="2">
        <v>0</v>
      </c>
      <c r="W44" s="2" t="s">
        <v>120</v>
      </c>
      <c r="X44" s="2" t="s">
        <v>121</v>
      </c>
      <c r="Y44" s="2">
        <v>0.8</v>
      </c>
      <c r="Z44" s="2">
        <v>0.51</v>
      </c>
      <c r="AA44" s="2">
        <v>2</v>
      </c>
      <c r="AB44" s="2">
        <v>1.4</v>
      </c>
      <c r="AC44" s="2">
        <v>0.8</v>
      </c>
      <c r="AE44" s="9">
        <f t="shared" si="4"/>
        <v>28.8</v>
      </c>
      <c r="AF44" s="2">
        <v>29</v>
      </c>
    </row>
    <row r="45" spans="1:32" x14ac:dyDescent="0.3">
      <c r="A45" s="4">
        <v>63129240124</v>
      </c>
      <c r="B45" s="4" t="s">
        <v>0</v>
      </c>
      <c r="C45" s="4" t="s">
        <v>1</v>
      </c>
      <c r="D45" s="4">
        <v>63</v>
      </c>
      <c r="E45" s="4">
        <v>129</v>
      </c>
      <c r="F45" s="4">
        <v>2401</v>
      </c>
      <c r="G45" s="4">
        <v>24</v>
      </c>
      <c r="H45" s="4" t="s">
        <v>56</v>
      </c>
      <c r="I45" s="8" t="s">
        <v>79</v>
      </c>
      <c r="J45" s="4">
        <v>4326</v>
      </c>
      <c r="K45" s="4">
        <v>1.0087999999999999</v>
      </c>
      <c r="L45" s="4" t="s">
        <v>124</v>
      </c>
      <c r="M45" s="4">
        <v>106404354</v>
      </c>
      <c r="N45" s="21">
        <v>45014</v>
      </c>
      <c r="O45" s="20">
        <v>45035</v>
      </c>
      <c r="P45" s="20">
        <v>45062</v>
      </c>
      <c r="Q45" s="2" t="s">
        <v>119</v>
      </c>
      <c r="R45" s="2">
        <v>231662</v>
      </c>
      <c r="S45" s="2">
        <v>63129240124</v>
      </c>
      <c r="T45" s="4">
        <v>1.22</v>
      </c>
      <c r="U45" s="2">
        <v>30</v>
      </c>
      <c r="V45" s="2">
        <v>0</v>
      </c>
      <c r="W45" s="2" t="s">
        <v>120</v>
      </c>
      <c r="X45" s="2" t="s">
        <v>121</v>
      </c>
      <c r="Y45" s="2">
        <v>0.9</v>
      </c>
      <c r="Z45" s="2">
        <v>0.31</v>
      </c>
      <c r="AA45" s="2">
        <v>3</v>
      </c>
      <c r="AB45" s="2">
        <v>1.6</v>
      </c>
      <c r="AC45" s="2">
        <v>0.9</v>
      </c>
      <c r="AE45" s="9">
        <f t="shared" si="4"/>
        <v>32.940000000000005</v>
      </c>
      <c r="AF45" s="2">
        <v>33</v>
      </c>
    </row>
    <row r="46" spans="1:32" x14ac:dyDescent="0.3">
      <c r="A46" s="4">
        <v>63129240125</v>
      </c>
      <c r="B46" s="4" t="s">
        <v>0</v>
      </c>
      <c r="C46" s="4" t="s">
        <v>1</v>
      </c>
      <c r="D46" s="4">
        <v>63</v>
      </c>
      <c r="E46" s="4">
        <v>129</v>
      </c>
      <c r="F46" s="4">
        <v>2401</v>
      </c>
      <c r="G46" s="4">
        <v>25</v>
      </c>
      <c r="H46" s="4" t="s">
        <v>56</v>
      </c>
      <c r="I46" s="8" t="s">
        <v>80</v>
      </c>
      <c r="J46" s="4">
        <v>4326</v>
      </c>
      <c r="K46" s="4">
        <v>1.0087999999999999</v>
      </c>
      <c r="L46" s="4" t="s">
        <v>124</v>
      </c>
      <c r="M46" s="4">
        <v>106404354</v>
      </c>
      <c r="N46" s="21">
        <v>45014</v>
      </c>
      <c r="O46" s="20">
        <v>45035</v>
      </c>
      <c r="P46" s="20">
        <v>45062</v>
      </c>
      <c r="Q46" s="2" t="s">
        <v>119</v>
      </c>
      <c r="R46" s="2">
        <v>231663</v>
      </c>
      <c r="S46" s="2">
        <v>63129240125</v>
      </c>
      <c r="T46" s="4">
        <v>1.23</v>
      </c>
      <c r="U46" s="2">
        <v>30</v>
      </c>
      <c r="V46" s="2">
        <v>0</v>
      </c>
      <c r="W46" s="2" t="s">
        <v>120</v>
      </c>
      <c r="X46" s="2" t="s">
        <v>121</v>
      </c>
      <c r="Y46" s="2">
        <v>1.2</v>
      </c>
      <c r="Z46" s="2">
        <v>0.19</v>
      </c>
      <c r="AA46" s="2">
        <v>6</v>
      </c>
      <c r="AB46" s="2">
        <v>2</v>
      </c>
      <c r="AC46" s="2">
        <v>1.2</v>
      </c>
      <c r="AE46" s="9">
        <f t="shared" si="4"/>
        <v>44.279999999999994</v>
      </c>
      <c r="AF46" s="2">
        <v>44</v>
      </c>
    </row>
    <row r="47" spans="1:32" x14ac:dyDescent="0.3">
      <c r="A47" s="4">
        <v>63129240126</v>
      </c>
      <c r="B47" s="4" t="s">
        <v>0</v>
      </c>
      <c r="C47" s="4" t="s">
        <v>1</v>
      </c>
      <c r="D47" s="4">
        <v>63</v>
      </c>
      <c r="E47" s="4">
        <v>129</v>
      </c>
      <c r="F47" s="4">
        <v>2401</v>
      </c>
      <c r="G47" s="4">
        <v>26</v>
      </c>
      <c r="H47" s="4" t="s">
        <v>56</v>
      </c>
      <c r="I47" s="8" t="s">
        <v>81</v>
      </c>
      <c r="J47" s="4">
        <v>4326</v>
      </c>
      <c r="K47" s="4">
        <v>1.0087999999999999</v>
      </c>
      <c r="L47" s="4" t="s">
        <v>124</v>
      </c>
      <c r="M47" s="4">
        <v>106404354</v>
      </c>
      <c r="N47" s="21">
        <v>45014</v>
      </c>
      <c r="O47" s="20">
        <v>45035</v>
      </c>
      <c r="P47" s="20">
        <v>45062</v>
      </c>
      <c r="Q47" s="2" t="s">
        <v>119</v>
      </c>
      <c r="R47" s="2">
        <v>231664</v>
      </c>
      <c r="S47" s="2">
        <v>63129240126</v>
      </c>
      <c r="T47" s="4">
        <v>1.1499999999999999</v>
      </c>
      <c r="U47" s="2">
        <v>30</v>
      </c>
      <c r="V47" s="2">
        <v>0</v>
      </c>
      <c r="W47" s="2" t="s">
        <v>120</v>
      </c>
      <c r="X47" s="2" t="s">
        <v>121</v>
      </c>
      <c r="Y47" s="2">
        <v>1.2</v>
      </c>
      <c r="Z47" s="2">
        <v>0.14000000000000001</v>
      </c>
      <c r="AA47" s="2">
        <v>9</v>
      </c>
      <c r="AB47" s="2">
        <v>2.1</v>
      </c>
      <c r="AC47" s="2">
        <v>1.2</v>
      </c>
      <c r="AE47" s="9">
        <f t="shared" si="4"/>
        <v>41.4</v>
      </c>
      <c r="AF47" s="2">
        <v>41</v>
      </c>
    </row>
    <row r="48" spans="1:32" x14ac:dyDescent="0.3">
      <c r="A48" s="4">
        <v>63129240127</v>
      </c>
      <c r="B48" s="4" t="s">
        <v>0</v>
      </c>
      <c r="C48" s="4" t="s">
        <v>1</v>
      </c>
      <c r="D48" s="4">
        <v>63</v>
      </c>
      <c r="E48" s="4">
        <v>129</v>
      </c>
      <c r="F48" s="4">
        <v>2401</v>
      </c>
      <c r="G48" s="4">
        <v>27</v>
      </c>
      <c r="H48" s="4" t="s">
        <v>56</v>
      </c>
      <c r="I48" s="8" t="s">
        <v>82</v>
      </c>
      <c r="J48" s="4">
        <v>4326</v>
      </c>
      <c r="K48" s="4">
        <v>1.0087999999999999</v>
      </c>
      <c r="L48" s="4" t="s">
        <v>124</v>
      </c>
      <c r="M48" s="4">
        <v>106404354</v>
      </c>
      <c r="N48" s="21">
        <v>45014</v>
      </c>
      <c r="O48" s="20">
        <v>45035</v>
      </c>
      <c r="P48" s="20">
        <v>45062</v>
      </c>
      <c r="Q48" s="2" t="s">
        <v>119</v>
      </c>
      <c r="R48" s="2">
        <v>231665</v>
      </c>
      <c r="S48" s="2">
        <v>63129240127</v>
      </c>
      <c r="T48" s="4">
        <v>1.17</v>
      </c>
      <c r="U48" s="2">
        <v>30</v>
      </c>
      <c r="V48" s="2">
        <v>0</v>
      </c>
      <c r="W48" s="2" t="s">
        <v>120</v>
      </c>
      <c r="X48" s="2" t="s">
        <v>121</v>
      </c>
      <c r="Y48" s="2">
        <v>1.6</v>
      </c>
      <c r="Z48" s="2">
        <v>0.17</v>
      </c>
      <c r="AA48" s="2">
        <v>9</v>
      </c>
      <c r="AB48" s="2">
        <v>2.7</v>
      </c>
      <c r="AC48" s="2">
        <v>1.6</v>
      </c>
      <c r="AE48" s="9">
        <f t="shared" si="4"/>
        <v>56.16</v>
      </c>
      <c r="AF48" s="2">
        <v>56</v>
      </c>
    </row>
    <row r="49" spans="1:34" x14ac:dyDescent="0.3">
      <c r="A49" s="4">
        <v>63129240128</v>
      </c>
      <c r="B49" s="4" t="s">
        <v>0</v>
      </c>
      <c r="C49" s="4" t="s">
        <v>1</v>
      </c>
      <c r="D49" s="4">
        <v>63</v>
      </c>
      <c r="E49" s="4">
        <v>129</v>
      </c>
      <c r="F49" s="4">
        <v>2401</v>
      </c>
      <c r="G49" s="4">
        <v>28</v>
      </c>
      <c r="H49" s="4" t="s">
        <v>56</v>
      </c>
      <c r="I49" s="8" t="s">
        <v>83</v>
      </c>
      <c r="J49" s="4">
        <v>4326</v>
      </c>
      <c r="K49" s="4">
        <v>1.0087999999999999</v>
      </c>
      <c r="L49" s="4" t="s">
        <v>124</v>
      </c>
      <c r="M49" s="4">
        <v>106404354</v>
      </c>
      <c r="N49" s="21">
        <v>45014</v>
      </c>
      <c r="O49" s="20">
        <v>45035</v>
      </c>
      <c r="P49" s="20">
        <v>45062</v>
      </c>
      <c r="Q49" s="2" t="s">
        <v>119</v>
      </c>
      <c r="R49" s="2">
        <v>231666</v>
      </c>
      <c r="S49" s="2">
        <v>63129240128</v>
      </c>
      <c r="T49" s="4">
        <v>1.2</v>
      </c>
      <c r="U49" s="2">
        <v>30</v>
      </c>
      <c r="V49" s="2">
        <v>0</v>
      </c>
      <c r="W49" s="2" t="s">
        <v>120</v>
      </c>
      <c r="X49" s="2" t="s">
        <v>121</v>
      </c>
      <c r="Y49" s="2">
        <v>1.3</v>
      </c>
      <c r="Z49" s="2">
        <v>0.12</v>
      </c>
      <c r="AA49" s="2">
        <v>10</v>
      </c>
      <c r="AB49" s="2">
        <v>2.1</v>
      </c>
      <c r="AC49" s="2">
        <v>1.2</v>
      </c>
      <c r="AE49" s="9">
        <f t="shared" si="4"/>
        <v>43.199999999999996</v>
      </c>
      <c r="AF49" s="2">
        <v>43</v>
      </c>
    </row>
    <row r="50" spans="1:34" x14ac:dyDescent="0.3">
      <c r="A50" s="4">
        <v>63129240129</v>
      </c>
      <c r="B50" s="4" t="s">
        <v>0</v>
      </c>
      <c r="C50" s="4" t="s">
        <v>1</v>
      </c>
      <c r="D50" s="4">
        <v>63</v>
      </c>
      <c r="E50" s="4">
        <v>129</v>
      </c>
      <c r="F50" s="4">
        <v>2401</v>
      </c>
      <c r="G50" s="4">
        <v>29</v>
      </c>
      <c r="H50" s="4" t="s">
        <v>56</v>
      </c>
      <c r="I50" s="8" t="s">
        <v>84</v>
      </c>
      <c r="J50" s="4">
        <v>4326</v>
      </c>
      <c r="K50" s="4">
        <v>1.0087999999999999</v>
      </c>
      <c r="L50" s="4" t="s">
        <v>124</v>
      </c>
      <c r="M50" s="4">
        <v>106404354</v>
      </c>
      <c r="N50" s="21">
        <v>45014</v>
      </c>
      <c r="O50" s="20">
        <v>45035</v>
      </c>
      <c r="P50" s="20">
        <v>45062</v>
      </c>
      <c r="Q50" s="2" t="s">
        <v>119</v>
      </c>
      <c r="R50" s="2">
        <v>231667</v>
      </c>
      <c r="S50" s="2">
        <v>63129240129</v>
      </c>
      <c r="T50" s="4">
        <v>1.22</v>
      </c>
      <c r="U50" s="2">
        <v>30</v>
      </c>
      <c r="V50" s="2">
        <v>0</v>
      </c>
      <c r="W50" s="2" t="s">
        <v>120</v>
      </c>
      <c r="X50" s="2" t="s">
        <v>121</v>
      </c>
      <c r="Y50" s="2">
        <v>1.2</v>
      </c>
      <c r="Z50" s="2">
        <v>0.11</v>
      </c>
      <c r="AA50" s="2">
        <v>10</v>
      </c>
      <c r="AB50" s="2">
        <v>2</v>
      </c>
      <c r="AC50" s="2">
        <v>1.1000000000000001</v>
      </c>
      <c r="AE50" s="9">
        <f t="shared" si="4"/>
        <v>40.260000000000005</v>
      </c>
      <c r="AF50" s="2">
        <v>40</v>
      </c>
    </row>
    <row r="51" spans="1:34" x14ac:dyDescent="0.3">
      <c r="A51" s="4">
        <v>63129240130</v>
      </c>
      <c r="B51" s="4" t="s">
        <v>0</v>
      </c>
      <c r="C51" s="4" t="s">
        <v>1</v>
      </c>
      <c r="D51" s="4">
        <v>63</v>
      </c>
      <c r="E51" s="4">
        <v>129</v>
      </c>
      <c r="F51" s="4">
        <v>2401</v>
      </c>
      <c r="G51" s="4">
        <v>30</v>
      </c>
      <c r="H51" s="4" t="s">
        <v>56</v>
      </c>
      <c r="I51" s="8" t="s">
        <v>85</v>
      </c>
      <c r="J51" s="4">
        <v>4326</v>
      </c>
      <c r="K51" s="4">
        <v>1.0087999999999999</v>
      </c>
      <c r="L51" s="4" t="s">
        <v>124</v>
      </c>
      <c r="M51" s="4">
        <v>106404354</v>
      </c>
      <c r="N51" s="21">
        <v>45014</v>
      </c>
      <c r="O51" s="20">
        <v>45035</v>
      </c>
      <c r="P51" s="20">
        <v>45062</v>
      </c>
      <c r="Q51" s="2" t="s">
        <v>119</v>
      </c>
      <c r="R51" s="2">
        <v>231668</v>
      </c>
      <c r="S51" s="2">
        <v>63129240130</v>
      </c>
      <c r="T51" s="4">
        <v>1.22</v>
      </c>
      <c r="U51" s="2">
        <v>30</v>
      </c>
      <c r="V51" s="2">
        <v>0</v>
      </c>
      <c r="W51" s="2" t="s">
        <v>120</v>
      </c>
      <c r="X51" s="2" t="s">
        <v>121</v>
      </c>
      <c r="Y51" s="2">
        <v>1.2</v>
      </c>
      <c r="Z51" s="2">
        <v>0.12</v>
      </c>
      <c r="AA51" s="2">
        <v>10</v>
      </c>
      <c r="AB51" s="2">
        <v>2.1</v>
      </c>
      <c r="AC51" s="2">
        <v>1.2</v>
      </c>
      <c r="AE51" s="9">
        <f t="shared" si="4"/>
        <v>43.92</v>
      </c>
      <c r="AF51" s="2">
        <v>44</v>
      </c>
    </row>
    <row r="52" spans="1:34" x14ac:dyDescent="0.3">
      <c r="A52" s="4">
        <v>63129240131</v>
      </c>
      <c r="B52" s="4" t="s">
        <v>0</v>
      </c>
      <c r="C52" s="4" t="s">
        <v>1</v>
      </c>
      <c r="D52" s="4">
        <v>63</v>
      </c>
      <c r="E52" s="4">
        <v>129</v>
      </c>
      <c r="F52" s="4">
        <v>2401</v>
      </c>
      <c r="G52" s="4">
        <v>31</v>
      </c>
      <c r="H52" s="4" t="s">
        <v>56</v>
      </c>
      <c r="I52" s="8" t="s">
        <v>86</v>
      </c>
      <c r="J52" s="4">
        <v>4326</v>
      </c>
      <c r="K52" s="4">
        <v>1.0087999999999999</v>
      </c>
      <c r="L52" s="4" t="s">
        <v>124</v>
      </c>
      <c r="M52" s="4">
        <v>106404354</v>
      </c>
      <c r="N52" s="21">
        <v>45014</v>
      </c>
      <c r="O52" s="20">
        <v>45035</v>
      </c>
      <c r="P52" s="20">
        <v>45062</v>
      </c>
      <c r="Q52" s="2" t="s">
        <v>119</v>
      </c>
      <c r="R52" s="2">
        <v>231669</v>
      </c>
      <c r="S52" s="2">
        <v>63129240131</v>
      </c>
      <c r="T52" s="4">
        <v>1.19</v>
      </c>
      <c r="U52" s="2">
        <v>30</v>
      </c>
      <c r="V52" s="2">
        <v>0</v>
      </c>
      <c r="W52" s="2" t="s">
        <v>120</v>
      </c>
      <c r="X52" s="2" t="s">
        <v>121</v>
      </c>
      <c r="Y52" s="2">
        <v>1.4</v>
      </c>
      <c r="Z52" s="2">
        <v>0.14000000000000001</v>
      </c>
      <c r="AA52" s="2">
        <v>10</v>
      </c>
      <c r="AB52" s="2">
        <v>2.4</v>
      </c>
      <c r="AC52" s="2">
        <v>1.4</v>
      </c>
      <c r="AE52" s="9">
        <f t="shared" si="4"/>
        <v>49.97999999999999</v>
      </c>
      <c r="AF52" s="2">
        <v>50</v>
      </c>
    </row>
    <row r="53" spans="1:34" x14ac:dyDescent="0.3">
      <c r="A53" s="4">
        <v>63129240132</v>
      </c>
      <c r="B53" s="4" t="s">
        <v>0</v>
      </c>
      <c r="C53" s="4" t="s">
        <v>1</v>
      </c>
      <c r="D53" s="4">
        <v>63</v>
      </c>
      <c r="E53" s="4">
        <v>129</v>
      </c>
      <c r="F53" s="4">
        <v>2401</v>
      </c>
      <c r="G53" s="4">
        <v>32</v>
      </c>
      <c r="H53" s="4" t="s">
        <v>56</v>
      </c>
      <c r="I53" s="8" t="s">
        <v>87</v>
      </c>
      <c r="J53" s="4">
        <v>4326</v>
      </c>
      <c r="K53" s="4">
        <v>1.0087999999999999</v>
      </c>
      <c r="L53" s="4" t="s">
        <v>124</v>
      </c>
      <c r="M53" s="4">
        <v>106404354</v>
      </c>
      <c r="N53" s="21">
        <v>45014</v>
      </c>
      <c r="O53" s="20">
        <v>45035</v>
      </c>
      <c r="P53" s="20">
        <v>45062</v>
      </c>
      <c r="Q53" s="2" t="s">
        <v>119</v>
      </c>
      <c r="R53" s="2">
        <v>231670</v>
      </c>
      <c r="S53" s="2">
        <v>63129240132</v>
      </c>
      <c r="T53" s="4">
        <v>1.1200000000000001</v>
      </c>
      <c r="U53" s="2">
        <v>30</v>
      </c>
      <c r="V53" s="2">
        <v>0</v>
      </c>
      <c r="W53" s="2" t="s">
        <v>120</v>
      </c>
      <c r="X53" s="2" t="s">
        <v>121</v>
      </c>
      <c r="Y53" s="2">
        <v>1.9</v>
      </c>
      <c r="Z53" s="2">
        <v>0.18</v>
      </c>
      <c r="AA53" s="2">
        <v>11</v>
      </c>
      <c r="AB53" s="2">
        <v>3.3</v>
      </c>
      <c r="AC53" s="2">
        <v>1.9</v>
      </c>
      <c r="AE53" s="9">
        <f t="shared" si="4"/>
        <v>63.839999999999996</v>
      </c>
      <c r="AF53" s="2">
        <v>64</v>
      </c>
    </row>
    <row r="54" spans="1:34" x14ac:dyDescent="0.3">
      <c r="A54" s="4">
        <v>63129240133</v>
      </c>
      <c r="B54" s="4" t="s">
        <v>0</v>
      </c>
      <c r="C54" s="4" t="s">
        <v>1</v>
      </c>
      <c r="D54" s="4">
        <v>63</v>
      </c>
      <c r="E54" s="4">
        <v>129</v>
      </c>
      <c r="F54" s="4">
        <v>2401</v>
      </c>
      <c r="G54" s="4">
        <v>33</v>
      </c>
      <c r="H54" s="4" t="s">
        <v>56</v>
      </c>
      <c r="I54" s="8" t="s">
        <v>88</v>
      </c>
      <c r="J54" s="4">
        <v>4326</v>
      </c>
      <c r="K54" s="4">
        <v>1.0087999999999999</v>
      </c>
      <c r="L54" s="4" t="s">
        <v>124</v>
      </c>
      <c r="M54" s="4">
        <v>106404354</v>
      </c>
      <c r="N54" s="21">
        <v>45014</v>
      </c>
      <c r="O54" s="20">
        <v>45035</v>
      </c>
      <c r="P54" s="20">
        <v>45062</v>
      </c>
      <c r="Q54" s="2" t="s">
        <v>119</v>
      </c>
      <c r="R54" s="2">
        <v>231671</v>
      </c>
      <c r="S54" s="2">
        <v>63129240133</v>
      </c>
      <c r="T54" s="4">
        <v>1.1200000000000001</v>
      </c>
      <c r="U54" s="2">
        <v>30</v>
      </c>
      <c r="V54" s="2">
        <v>0</v>
      </c>
      <c r="W54" s="2" t="s">
        <v>120</v>
      </c>
      <c r="X54" s="2" t="s">
        <v>121</v>
      </c>
      <c r="Y54" s="2">
        <v>1.8</v>
      </c>
      <c r="Z54" s="2">
        <v>0.17</v>
      </c>
      <c r="AA54" s="2">
        <v>11</v>
      </c>
      <c r="AB54" s="2">
        <v>3</v>
      </c>
      <c r="AC54" s="2">
        <v>1.8</v>
      </c>
      <c r="AE54" s="9">
        <f t="shared" si="4"/>
        <v>60.480000000000004</v>
      </c>
      <c r="AF54" s="2">
        <v>60</v>
      </c>
    </row>
    <row r="55" spans="1:34" x14ac:dyDescent="0.3">
      <c r="A55" s="4">
        <v>63129240134</v>
      </c>
      <c r="B55" s="4" t="s">
        <v>0</v>
      </c>
      <c r="C55" s="4" t="s">
        <v>1</v>
      </c>
      <c r="D55" s="4">
        <v>63</v>
      </c>
      <c r="E55" s="4">
        <v>129</v>
      </c>
      <c r="F55" s="4">
        <v>2401</v>
      </c>
      <c r="G55" s="4">
        <v>34</v>
      </c>
      <c r="H55" s="4" t="s">
        <v>56</v>
      </c>
      <c r="I55" s="8" t="s">
        <v>89</v>
      </c>
      <c r="J55" s="4">
        <v>4326</v>
      </c>
      <c r="K55" s="4">
        <v>1.0087999999999999</v>
      </c>
      <c r="L55" s="4" t="s">
        <v>124</v>
      </c>
      <c r="M55" s="4">
        <v>106404354</v>
      </c>
      <c r="N55" s="21">
        <v>45014</v>
      </c>
      <c r="O55" s="20">
        <v>45035</v>
      </c>
      <c r="P55" s="20">
        <v>45062</v>
      </c>
      <c r="Q55" s="2" t="s">
        <v>119</v>
      </c>
      <c r="R55" s="2">
        <v>231672</v>
      </c>
      <c r="S55" s="2">
        <v>63129240134</v>
      </c>
      <c r="T55" s="4">
        <v>1.1299999999999999</v>
      </c>
      <c r="U55" s="2">
        <v>30</v>
      </c>
      <c r="V55" s="2">
        <v>0</v>
      </c>
      <c r="W55" s="2" t="s">
        <v>120</v>
      </c>
      <c r="X55" s="2" t="s">
        <v>121</v>
      </c>
      <c r="Y55" s="2">
        <v>1.7</v>
      </c>
      <c r="Z55" s="2">
        <v>0.16</v>
      </c>
      <c r="AA55" s="2">
        <v>11</v>
      </c>
      <c r="AB55" s="2">
        <v>2.9</v>
      </c>
      <c r="AC55" s="2">
        <v>1.7</v>
      </c>
      <c r="AE55" s="9">
        <f t="shared" si="4"/>
        <v>57.629999999999995</v>
      </c>
      <c r="AF55" s="2">
        <v>58</v>
      </c>
    </row>
    <row r="56" spans="1:34" x14ac:dyDescent="0.3">
      <c r="A56" s="4">
        <v>63129240135</v>
      </c>
      <c r="B56" s="4" t="s">
        <v>0</v>
      </c>
      <c r="C56" s="4" t="s">
        <v>1</v>
      </c>
      <c r="D56" s="4">
        <v>63</v>
      </c>
      <c r="E56" s="4">
        <v>129</v>
      </c>
      <c r="F56" s="4">
        <v>2401</v>
      </c>
      <c r="G56" s="4">
        <v>35</v>
      </c>
      <c r="H56" s="4" t="s">
        <v>56</v>
      </c>
      <c r="I56" s="8" t="s">
        <v>90</v>
      </c>
      <c r="J56" s="4">
        <v>4326</v>
      </c>
      <c r="K56" s="4">
        <v>1.0087999999999999</v>
      </c>
      <c r="L56" s="4" t="s">
        <v>124</v>
      </c>
      <c r="M56" s="4">
        <v>106404354</v>
      </c>
      <c r="N56" s="21">
        <v>45014</v>
      </c>
      <c r="O56" s="20">
        <v>45035</v>
      </c>
      <c r="P56" s="20">
        <v>45062</v>
      </c>
      <c r="Q56" s="2" t="s">
        <v>119</v>
      </c>
      <c r="R56" s="2">
        <v>231673</v>
      </c>
      <c r="S56" s="2">
        <v>63129240135</v>
      </c>
      <c r="T56" s="4">
        <v>1.17</v>
      </c>
      <c r="U56" s="2">
        <v>30</v>
      </c>
      <c r="V56" s="2">
        <v>0</v>
      </c>
      <c r="W56" s="2" t="s">
        <v>120</v>
      </c>
      <c r="X56" s="2" t="s">
        <v>121</v>
      </c>
      <c r="Y56" s="2">
        <v>2</v>
      </c>
      <c r="Z56" s="2">
        <v>0.22</v>
      </c>
      <c r="AA56" s="2">
        <v>9</v>
      </c>
      <c r="AB56" s="2">
        <v>3.3</v>
      </c>
      <c r="AC56" s="2">
        <v>1.9</v>
      </c>
      <c r="AE56" s="9">
        <f t="shared" si="4"/>
        <v>66.689999999999984</v>
      </c>
      <c r="AF56" s="2">
        <v>67</v>
      </c>
    </row>
    <row r="57" spans="1:34" s="13" customFormat="1" x14ac:dyDescent="0.3">
      <c r="A57" s="10">
        <v>6312938661</v>
      </c>
      <c r="B57" s="10" t="s">
        <v>0</v>
      </c>
      <c r="C57" s="10" t="s">
        <v>1</v>
      </c>
      <c r="D57" s="10">
        <v>63</v>
      </c>
      <c r="E57" s="10">
        <v>129</v>
      </c>
      <c r="F57" s="10">
        <v>3866</v>
      </c>
      <c r="G57" s="10">
        <v>1</v>
      </c>
      <c r="H57" s="10" t="s">
        <v>92</v>
      </c>
      <c r="I57" s="11" t="s">
        <v>91</v>
      </c>
      <c r="J57" s="10">
        <v>4326</v>
      </c>
      <c r="K57" s="10">
        <v>1.0529999999999999</v>
      </c>
      <c r="L57" s="10" t="s">
        <v>123</v>
      </c>
      <c r="M57" s="10">
        <v>106404354</v>
      </c>
      <c r="N57" s="21">
        <v>45014</v>
      </c>
      <c r="O57" s="19">
        <v>45035</v>
      </c>
      <c r="P57" s="19">
        <v>45062</v>
      </c>
      <c r="Q57" s="13" t="s">
        <v>119</v>
      </c>
      <c r="R57" s="13">
        <v>231674</v>
      </c>
      <c r="S57" s="13">
        <v>6312938661</v>
      </c>
      <c r="T57" s="10">
        <v>1.1599999999999999</v>
      </c>
      <c r="U57" s="13">
        <v>30</v>
      </c>
      <c r="V57" s="13">
        <v>0</v>
      </c>
      <c r="W57" s="13" t="s">
        <v>120</v>
      </c>
      <c r="X57" s="13" t="s">
        <v>121</v>
      </c>
      <c r="Y57" s="13">
        <v>1.4</v>
      </c>
      <c r="Z57" s="13">
        <v>0.13</v>
      </c>
      <c r="AA57" s="13">
        <v>11</v>
      </c>
      <c r="AB57" s="13">
        <v>2.4</v>
      </c>
      <c r="AC57" s="13">
        <v>1.4</v>
      </c>
      <c r="AE57" s="14">
        <f t="shared" si="4"/>
        <v>48.719999999999992</v>
      </c>
      <c r="AF57" s="13">
        <v>49</v>
      </c>
      <c r="AH57" s="13">
        <f>_xlfn.STDEV.P(AF57:AF68)</f>
        <v>8.4995914934516446</v>
      </c>
    </row>
    <row r="58" spans="1:34" s="13" customFormat="1" x14ac:dyDescent="0.3">
      <c r="A58" s="10">
        <v>6312938662</v>
      </c>
      <c r="B58" s="10" t="s">
        <v>0</v>
      </c>
      <c r="C58" s="10" t="s">
        <v>1</v>
      </c>
      <c r="D58" s="10">
        <v>63</v>
      </c>
      <c r="E58" s="10">
        <v>129</v>
      </c>
      <c r="F58" s="10">
        <v>3866</v>
      </c>
      <c r="G58" s="10">
        <v>2</v>
      </c>
      <c r="H58" s="10" t="s">
        <v>92</v>
      </c>
      <c r="I58" s="11" t="s">
        <v>93</v>
      </c>
      <c r="J58" s="10">
        <v>4326</v>
      </c>
      <c r="K58" s="10">
        <v>1.0529999999999999</v>
      </c>
      <c r="L58" s="10" t="s">
        <v>123</v>
      </c>
      <c r="M58" s="10">
        <v>106404354</v>
      </c>
      <c r="N58" s="21">
        <v>45014</v>
      </c>
      <c r="O58" s="19">
        <v>45035</v>
      </c>
      <c r="P58" s="19">
        <v>45062</v>
      </c>
      <c r="Q58" s="13" t="s">
        <v>119</v>
      </c>
      <c r="R58" s="13">
        <v>231675</v>
      </c>
      <c r="S58" s="13">
        <v>6312938662</v>
      </c>
      <c r="T58" s="10">
        <v>1.18</v>
      </c>
      <c r="U58" s="13">
        <v>30</v>
      </c>
      <c r="V58" s="13">
        <v>0</v>
      </c>
      <c r="W58" s="13" t="s">
        <v>120</v>
      </c>
      <c r="X58" s="13" t="s">
        <v>121</v>
      </c>
      <c r="Y58" s="13">
        <v>1.3</v>
      </c>
      <c r="Z58" s="13">
        <v>0.12</v>
      </c>
      <c r="AA58" s="13">
        <v>11</v>
      </c>
      <c r="AB58" s="13">
        <v>2.2000000000000002</v>
      </c>
      <c r="AC58" s="13">
        <v>1.3</v>
      </c>
      <c r="AE58" s="14">
        <f t="shared" si="4"/>
        <v>46.02</v>
      </c>
      <c r="AF58" s="13">
        <v>46</v>
      </c>
    </row>
    <row r="59" spans="1:34" s="13" customFormat="1" x14ac:dyDescent="0.3">
      <c r="A59" s="10">
        <v>6312938663</v>
      </c>
      <c r="B59" s="10" t="s">
        <v>0</v>
      </c>
      <c r="C59" s="10" t="s">
        <v>1</v>
      </c>
      <c r="D59" s="10">
        <v>63</v>
      </c>
      <c r="E59" s="10">
        <v>129</v>
      </c>
      <c r="F59" s="10">
        <v>3866</v>
      </c>
      <c r="G59" s="10">
        <v>3</v>
      </c>
      <c r="H59" s="10" t="s">
        <v>92</v>
      </c>
      <c r="I59" s="11" t="s">
        <v>94</v>
      </c>
      <c r="J59" s="10">
        <v>4326</v>
      </c>
      <c r="K59" s="10">
        <v>1.0529999999999999</v>
      </c>
      <c r="L59" s="10" t="s">
        <v>123</v>
      </c>
      <c r="M59" s="10">
        <v>106404354</v>
      </c>
      <c r="N59" s="21">
        <v>45014</v>
      </c>
      <c r="O59" s="19">
        <v>45035</v>
      </c>
      <c r="P59" s="19">
        <v>45062</v>
      </c>
      <c r="Q59" s="13" t="s">
        <v>119</v>
      </c>
      <c r="R59" s="13">
        <v>231676</v>
      </c>
      <c r="S59" s="13">
        <v>6312938663</v>
      </c>
      <c r="T59" s="10">
        <v>1.1499999999999999</v>
      </c>
      <c r="U59" s="13">
        <v>30</v>
      </c>
      <c r="V59" s="13">
        <v>0</v>
      </c>
      <c r="W59" s="13" t="s">
        <v>120</v>
      </c>
      <c r="X59" s="13" t="s">
        <v>121</v>
      </c>
      <c r="Y59" s="13">
        <v>1.6</v>
      </c>
      <c r="Z59" s="13">
        <v>0.14000000000000001</v>
      </c>
      <c r="AA59" s="13">
        <v>11</v>
      </c>
      <c r="AB59" s="13">
        <v>2.8</v>
      </c>
      <c r="AC59" s="13">
        <v>1.6</v>
      </c>
      <c r="AE59" s="14">
        <f t="shared" si="4"/>
        <v>55.2</v>
      </c>
      <c r="AF59" s="13">
        <v>55</v>
      </c>
    </row>
    <row r="60" spans="1:34" s="13" customFormat="1" x14ac:dyDescent="0.3">
      <c r="A60" s="10">
        <v>6312938664</v>
      </c>
      <c r="B60" s="10" t="s">
        <v>0</v>
      </c>
      <c r="C60" s="10" t="s">
        <v>1</v>
      </c>
      <c r="D60" s="10">
        <v>63</v>
      </c>
      <c r="E60" s="10">
        <v>129</v>
      </c>
      <c r="F60" s="10">
        <v>3866</v>
      </c>
      <c r="G60" s="10">
        <v>4</v>
      </c>
      <c r="H60" s="10" t="s">
        <v>92</v>
      </c>
      <c r="I60" s="11" t="s">
        <v>95</v>
      </c>
      <c r="J60" s="10">
        <v>4326</v>
      </c>
      <c r="K60" s="10">
        <v>1.0529999999999999</v>
      </c>
      <c r="L60" s="10" t="s">
        <v>123</v>
      </c>
      <c r="M60" s="10">
        <v>106404354</v>
      </c>
      <c r="N60" s="21">
        <v>45014</v>
      </c>
      <c r="O60" s="19">
        <v>45035</v>
      </c>
      <c r="P60" s="19">
        <v>45062</v>
      </c>
      <c r="Q60" s="13" t="s">
        <v>119</v>
      </c>
      <c r="R60" s="13">
        <v>231677</v>
      </c>
      <c r="S60" s="13">
        <v>6312938664</v>
      </c>
      <c r="T60" s="10">
        <v>1.18</v>
      </c>
      <c r="U60" s="13">
        <v>30</v>
      </c>
      <c r="V60" s="13">
        <v>0</v>
      </c>
      <c r="W60" s="13" t="s">
        <v>120</v>
      </c>
      <c r="X60" s="13" t="s">
        <v>121</v>
      </c>
      <c r="Y60" s="13">
        <v>1.8</v>
      </c>
      <c r="Z60" s="13">
        <v>0.17</v>
      </c>
      <c r="AA60" s="13">
        <v>11</v>
      </c>
      <c r="AB60" s="13">
        <v>3.1</v>
      </c>
      <c r="AC60" s="13">
        <v>1.8</v>
      </c>
      <c r="AE60" s="14">
        <f t="shared" si="4"/>
        <v>63.72</v>
      </c>
      <c r="AF60" s="13">
        <v>64</v>
      </c>
    </row>
    <row r="61" spans="1:34" s="13" customFormat="1" x14ac:dyDescent="0.3">
      <c r="A61" s="10">
        <v>6312938665</v>
      </c>
      <c r="B61" s="10" t="s">
        <v>0</v>
      </c>
      <c r="C61" s="10" t="s">
        <v>1</v>
      </c>
      <c r="D61" s="10">
        <v>63</v>
      </c>
      <c r="E61" s="10">
        <v>129</v>
      </c>
      <c r="F61" s="10">
        <v>3866</v>
      </c>
      <c r="G61" s="10">
        <v>5</v>
      </c>
      <c r="H61" s="10" t="s">
        <v>92</v>
      </c>
      <c r="I61" s="11" t="s">
        <v>96</v>
      </c>
      <c r="J61" s="10">
        <v>4326</v>
      </c>
      <c r="K61" s="10">
        <v>1.0529999999999999</v>
      </c>
      <c r="L61" s="10" t="s">
        <v>123</v>
      </c>
      <c r="M61" s="10">
        <v>106404354</v>
      </c>
      <c r="N61" s="21">
        <v>45014</v>
      </c>
      <c r="O61" s="19">
        <v>45035</v>
      </c>
      <c r="P61" s="19">
        <v>45062</v>
      </c>
      <c r="Q61" s="13" t="s">
        <v>119</v>
      </c>
      <c r="R61" s="13">
        <v>231678</v>
      </c>
      <c r="S61" s="13">
        <v>6312938665</v>
      </c>
      <c r="T61" s="10">
        <v>1.1100000000000001</v>
      </c>
      <c r="U61" s="13">
        <v>30</v>
      </c>
      <c r="V61" s="13">
        <v>0</v>
      </c>
      <c r="W61" s="13" t="s">
        <v>120</v>
      </c>
      <c r="X61" s="13" t="s">
        <v>121</v>
      </c>
      <c r="Y61" s="13">
        <v>2</v>
      </c>
      <c r="Z61" s="13">
        <v>0.18</v>
      </c>
      <c r="AA61" s="13">
        <v>11</v>
      </c>
      <c r="AB61" s="13">
        <v>3.5</v>
      </c>
      <c r="AC61" s="13">
        <v>2</v>
      </c>
      <c r="AE61" s="14">
        <f t="shared" si="4"/>
        <v>66.600000000000009</v>
      </c>
      <c r="AF61" s="13">
        <v>67</v>
      </c>
    </row>
    <row r="62" spans="1:34" s="13" customFormat="1" x14ac:dyDescent="0.3">
      <c r="A62" s="10">
        <v>6312938666</v>
      </c>
      <c r="B62" s="10" t="s">
        <v>0</v>
      </c>
      <c r="C62" s="10" t="s">
        <v>1</v>
      </c>
      <c r="D62" s="10">
        <v>63</v>
      </c>
      <c r="E62" s="10">
        <v>129</v>
      </c>
      <c r="F62" s="10">
        <v>3866</v>
      </c>
      <c r="G62" s="10">
        <v>6</v>
      </c>
      <c r="H62" s="10" t="s">
        <v>92</v>
      </c>
      <c r="I62" s="11" t="s">
        <v>97</v>
      </c>
      <c r="J62" s="10">
        <v>4326</v>
      </c>
      <c r="K62" s="10">
        <v>1.0529999999999999</v>
      </c>
      <c r="L62" s="10" t="s">
        <v>123</v>
      </c>
      <c r="M62" s="10">
        <v>106404354</v>
      </c>
      <c r="N62" s="21">
        <v>45014</v>
      </c>
      <c r="O62" s="19">
        <v>45035</v>
      </c>
      <c r="P62" s="19">
        <v>45062</v>
      </c>
      <c r="Q62" s="13" t="s">
        <v>119</v>
      </c>
      <c r="R62" s="13">
        <v>231679</v>
      </c>
      <c r="S62" s="13">
        <v>6312938666</v>
      </c>
      <c r="T62" s="10">
        <v>1.1599999999999999</v>
      </c>
      <c r="U62" s="13">
        <v>30</v>
      </c>
      <c r="V62" s="13">
        <v>0</v>
      </c>
      <c r="W62" s="13" t="s">
        <v>120</v>
      </c>
      <c r="X62" s="13" t="s">
        <v>121</v>
      </c>
      <c r="Y62" s="13">
        <v>1.6</v>
      </c>
      <c r="Z62" s="13">
        <v>0.13</v>
      </c>
      <c r="AA62" s="13">
        <v>12</v>
      </c>
      <c r="AB62" s="13">
        <v>2.7</v>
      </c>
      <c r="AC62" s="13">
        <v>1.6</v>
      </c>
      <c r="AE62" s="14">
        <f t="shared" si="4"/>
        <v>55.68</v>
      </c>
      <c r="AF62" s="13">
        <v>56</v>
      </c>
    </row>
    <row r="63" spans="1:34" s="13" customFormat="1" x14ac:dyDescent="0.3">
      <c r="A63" s="10">
        <v>6312938667</v>
      </c>
      <c r="B63" s="10" t="s">
        <v>0</v>
      </c>
      <c r="C63" s="10" t="s">
        <v>1</v>
      </c>
      <c r="D63" s="10">
        <v>63</v>
      </c>
      <c r="E63" s="10">
        <v>129</v>
      </c>
      <c r="F63" s="10">
        <v>3866</v>
      </c>
      <c r="G63" s="10">
        <v>7</v>
      </c>
      <c r="H63" s="10" t="s">
        <v>92</v>
      </c>
      <c r="I63" s="11" t="s">
        <v>98</v>
      </c>
      <c r="J63" s="10">
        <v>4326</v>
      </c>
      <c r="K63" s="10">
        <v>1.0529999999999999</v>
      </c>
      <c r="L63" s="10" t="s">
        <v>123</v>
      </c>
      <c r="M63" s="10">
        <v>106404354</v>
      </c>
      <c r="N63" s="21">
        <v>45014</v>
      </c>
      <c r="O63" s="19">
        <v>45035</v>
      </c>
      <c r="P63" s="19">
        <v>45062</v>
      </c>
      <c r="Q63" s="13" t="s">
        <v>119</v>
      </c>
      <c r="R63" s="13">
        <v>231680</v>
      </c>
      <c r="S63" s="13">
        <v>6312938667</v>
      </c>
      <c r="T63" s="10">
        <v>1.1499999999999999</v>
      </c>
      <c r="U63" s="13">
        <v>30</v>
      </c>
      <c r="V63" s="13">
        <v>0</v>
      </c>
      <c r="W63" s="13" t="s">
        <v>120</v>
      </c>
      <c r="X63" s="13" t="s">
        <v>121</v>
      </c>
      <c r="Y63" s="13">
        <v>1.8</v>
      </c>
      <c r="Z63" s="13">
        <v>0.14000000000000001</v>
      </c>
      <c r="AA63" s="13">
        <v>13</v>
      </c>
      <c r="AB63" s="13">
        <v>3.1</v>
      </c>
      <c r="AC63" s="13">
        <v>1.8</v>
      </c>
      <c r="AE63" s="14">
        <f t="shared" si="4"/>
        <v>62.1</v>
      </c>
      <c r="AF63" s="13">
        <v>62</v>
      </c>
    </row>
    <row r="64" spans="1:34" s="13" customFormat="1" x14ac:dyDescent="0.3">
      <c r="A64" s="10">
        <v>6312938668</v>
      </c>
      <c r="B64" s="10" t="s">
        <v>0</v>
      </c>
      <c r="C64" s="10" t="s">
        <v>1</v>
      </c>
      <c r="D64" s="10">
        <v>63</v>
      </c>
      <c r="E64" s="10">
        <v>129</v>
      </c>
      <c r="F64" s="10">
        <v>3866</v>
      </c>
      <c r="G64" s="10">
        <v>8</v>
      </c>
      <c r="H64" s="10" t="s">
        <v>92</v>
      </c>
      <c r="I64" s="11" t="s">
        <v>99</v>
      </c>
      <c r="J64" s="10">
        <v>4326</v>
      </c>
      <c r="K64" s="10">
        <v>1.0529999999999999</v>
      </c>
      <c r="L64" s="10" t="s">
        <v>123</v>
      </c>
      <c r="M64" s="10">
        <v>106404354</v>
      </c>
      <c r="N64" s="21">
        <v>45014</v>
      </c>
      <c r="O64" s="19">
        <v>45035</v>
      </c>
      <c r="P64" s="19">
        <v>45062</v>
      </c>
      <c r="Q64" s="13" t="s">
        <v>119</v>
      </c>
      <c r="R64" s="13">
        <v>231681</v>
      </c>
      <c r="S64" s="13">
        <v>6312938668</v>
      </c>
      <c r="T64" s="10">
        <v>1.1599999999999999</v>
      </c>
      <c r="U64" s="13">
        <v>30</v>
      </c>
      <c r="V64" s="13">
        <v>0</v>
      </c>
      <c r="W64" s="13" t="s">
        <v>120</v>
      </c>
      <c r="X64" s="13" t="s">
        <v>121</v>
      </c>
      <c r="Y64" s="13">
        <v>1.3</v>
      </c>
      <c r="Z64" s="13">
        <v>0.13</v>
      </c>
      <c r="AA64" s="13">
        <v>10</v>
      </c>
      <c r="AB64" s="13">
        <v>2.2999999999999998</v>
      </c>
      <c r="AC64" s="13">
        <v>1.3</v>
      </c>
      <c r="AE64" s="14">
        <f t="shared" si="4"/>
        <v>45.239999999999995</v>
      </c>
      <c r="AF64" s="13">
        <v>45</v>
      </c>
    </row>
    <row r="65" spans="1:34" s="13" customFormat="1" x14ac:dyDescent="0.3">
      <c r="A65" s="10">
        <v>6312938669</v>
      </c>
      <c r="B65" s="10" t="s">
        <v>0</v>
      </c>
      <c r="C65" s="10" t="s">
        <v>1</v>
      </c>
      <c r="D65" s="10">
        <v>63</v>
      </c>
      <c r="E65" s="10">
        <v>129</v>
      </c>
      <c r="F65" s="10">
        <v>3866</v>
      </c>
      <c r="G65" s="10">
        <v>9</v>
      </c>
      <c r="H65" s="10" t="s">
        <v>92</v>
      </c>
      <c r="I65" s="11" t="s">
        <v>100</v>
      </c>
      <c r="J65" s="10">
        <v>4326</v>
      </c>
      <c r="K65" s="10">
        <v>1.0529999999999999</v>
      </c>
      <c r="L65" s="10" t="s">
        <v>123</v>
      </c>
      <c r="M65" s="10">
        <v>106404354</v>
      </c>
      <c r="N65" s="21">
        <v>45014</v>
      </c>
      <c r="O65" s="19">
        <v>45035</v>
      </c>
      <c r="P65" s="19">
        <v>45062</v>
      </c>
      <c r="Q65" s="13" t="s">
        <v>119</v>
      </c>
      <c r="R65" s="13">
        <v>231682</v>
      </c>
      <c r="S65" s="13">
        <v>6312938669</v>
      </c>
      <c r="T65" s="10">
        <v>1.18</v>
      </c>
      <c r="U65" s="13">
        <v>30</v>
      </c>
      <c r="V65" s="13">
        <v>0</v>
      </c>
      <c r="W65" s="13" t="s">
        <v>120</v>
      </c>
      <c r="X65" s="13" t="s">
        <v>121</v>
      </c>
      <c r="Y65" s="13">
        <v>1.4</v>
      </c>
      <c r="Z65" s="13">
        <v>0.13</v>
      </c>
      <c r="AA65" s="13">
        <v>10</v>
      </c>
      <c r="AB65" s="13">
        <v>2.2999999999999998</v>
      </c>
      <c r="AC65" s="13">
        <v>1.3</v>
      </c>
      <c r="AE65" s="14">
        <f t="shared" si="4"/>
        <v>46.02</v>
      </c>
      <c r="AF65" s="13">
        <v>46</v>
      </c>
    </row>
    <row r="66" spans="1:34" s="13" customFormat="1" x14ac:dyDescent="0.3">
      <c r="A66" s="10">
        <v>63129386610</v>
      </c>
      <c r="B66" s="10" t="s">
        <v>0</v>
      </c>
      <c r="C66" s="10" t="s">
        <v>1</v>
      </c>
      <c r="D66" s="10">
        <v>63</v>
      </c>
      <c r="E66" s="10">
        <v>129</v>
      </c>
      <c r="F66" s="10">
        <v>3866</v>
      </c>
      <c r="G66" s="10">
        <v>10</v>
      </c>
      <c r="H66" s="10" t="s">
        <v>92</v>
      </c>
      <c r="I66" s="11" t="s">
        <v>101</v>
      </c>
      <c r="J66" s="10">
        <v>4326</v>
      </c>
      <c r="K66" s="10">
        <v>1.0529999999999999</v>
      </c>
      <c r="L66" s="10" t="s">
        <v>123</v>
      </c>
      <c r="M66" s="10">
        <v>106404354</v>
      </c>
      <c r="N66" s="21">
        <v>45014</v>
      </c>
      <c r="O66" s="19">
        <v>45035</v>
      </c>
      <c r="P66" s="19">
        <v>45062</v>
      </c>
      <c r="Q66" s="13" t="s">
        <v>119</v>
      </c>
      <c r="R66" s="13">
        <v>231683</v>
      </c>
      <c r="S66" s="13">
        <v>63129386610</v>
      </c>
      <c r="T66" s="10">
        <v>1.24</v>
      </c>
      <c r="U66" s="13">
        <v>30</v>
      </c>
      <c r="V66" s="13">
        <v>0</v>
      </c>
      <c r="W66" s="13" t="s">
        <v>120</v>
      </c>
      <c r="X66" s="13" t="s">
        <v>121</v>
      </c>
      <c r="Y66" s="13">
        <v>1.1000000000000001</v>
      </c>
      <c r="Z66" s="13">
        <v>0.11</v>
      </c>
      <c r="AA66" s="13">
        <v>10</v>
      </c>
      <c r="AB66" s="13">
        <v>1.9</v>
      </c>
      <c r="AC66" s="13">
        <v>1.1000000000000001</v>
      </c>
      <c r="AE66" s="14">
        <f t="shared" si="4"/>
        <v>40.920000000000009</v>
      </c>
      <c r="AF66" s="13">
        <v>41</v>
      </c>
    </row>
    <row r="67" spans="1:34" s="13" customFormat="1" x14ac:dyDescent="0.3">
      <c r="A67" s="10">
        <v>63129386611</v>
      </c>
      <c r="B67" s="10" t="s">
        <v>0</v>
      </c>
      <c r="C67" s="10" t="s">
        <v>1</v>
      </c>
      <c r="D67" s="10">
        <v>63</v>
      </c>
      <c r="E67" s="10">
        <v>129</v>
      </c>
      <c r="F67" s="10">
        <v>3866</v>
      </c>
      <c r="G67" s="10">
        <v>11</v>
      </c>
      <c r="H67" s="10" t="s">
        <v>92</v>
      </c>
      <c r="I67" s="11" t="s">
        <v>102</v>
      </c>
      <c r="J67" s="10">
        <v>4326</v>
      </c>
      <c r="K67" s="10">
        <v>1.0529999999999999</v>
      </c>
      <c r="L67" s="10" t="s">
        <v>123</v>
      </c>
      <c r="M67" s="10">
        <v>106404354</v>
      </c>
      <c r="N67" s="21">
        <v>45014</v>
      </c>
      <c r="O67" s="19">
        <v>45035</v>
      </c>
      <c r="P67" s="19">
        <v>45062</v>
      </c>
      <c r="Q67" s="13" t="s">
        <v>119</v>
      </c>
      <c r="R67" s="13">
        <v>231684</v>
      </c>
      <c r="S67" s="13">
        <v>63129386611</v>
      </c>
      <c r="T67" s="10">
        <v>1.17</v>
      </c>
      <c r="U67" s="13">
        <v>30</v>
      </c>
      <c r="V67" s="13">
        <v>0</v>
      </c>
      <c r="W67" s="13" t="s">
        <v>120</v>
      </c>
      <c r="X67" s="13" t="s">
        <v>121</v>
      </c>
      <c r="Y67" s="13">
        <v>1.5</v>
      </c>
      <c r="Z67" s="13">
        <v>0.12</v>
      </c>
      <c r="AA67" s="13">
        <v>13</v>
      </c>
      <c r="AB67" s="13">
        <v>2.7</v>
      </c>
      <c r="AC67" s="13">
        <v>1.5</v>
      </c>
      <c r="AE67" s="14">
        <f t="shared" si="4"/>
        <v>52.649999999999991</v>
      </c>
      <c r="AF67" s="13">
        <v>53</v>
      </c>
    </row>
    <row r="68" spans="1:34" s="13" customFormat="1" x14ac:dyDescent="0.3">
      <c r="A68" s="10">
        <v>63129386612</v>
      </c>
      <c r="B68" s="10" t="s">
        <v>0</v>
      </c>
      <c r="C68" s="10" t="s">
        <v>1</v>
      </c>
      <c r="D68" s="10">
        <v>63</v>
      </c>
      <c r="E68" s="10">
        <v>129</v>
      </c>
      <c r="F68" s="10">
        <v>3866</v>
      </c>
      <c r="G68" s="10">
        <v>12</v>
      </c>
      <c r="H68" s="10" t="s">
        <v>92</v>
      </c>
      <c r="I68" s="11" t="s">
        <v>103</v>
      </c>
      <c r="J68" s="10">
        <v>4326</v>
      </c>
      <c r="K68" s="10">
        <v>1.0529999999999999</v>
      </c>
      <c r="L68" s="10" t="s">
        <v>123</v>
      </c>
      <c r="M68" s="10">
        <v>106404354</v>
      </c>
      <c r="N68" s="21">
        <v>45014</v>
      </c>
      <c r="O68" s="19">
        <v>45035</v>
      </c>
      <c r="P68" s="19">
        <v>45062</v>
      </c>
      <c r="Q68" s="13" t="s">
        <v>119</v>
      </c>
      <c r="R68" s="13">
        <v>231685</v>
      </c>
      <c r="S68" s="13">
        <v>63129386612</v>
      </c>
      <c r="T68" s="10">
        <v>1.24</v>
      </c>
      <c r="U68" s="13">
        <v>30</v>
      </c>
      <c r="V68" s="13">
        <v>0</v>
      </c>
      <c r="W68" s="13" t="s">
        <v>120</v>
      </c>
      <c r="X68" s="13" t="s">
        <v>121</v>
      </c>
      <c r="Y68" s="13">
        <v>1.1000000000000001</v>
      </c>
      <c r="Z68" s="13">
        <v>0.11</v>
      </c>
      <c r="AA68" s="13">
        <v>10</v>
      </c>
      <c r="AB68" s="13">
        <v>1.9</v>
      </c>
      <c r="AC68" s="13">
        <v>1.1000000000000001</v>
      </c>
      <c r="AE68" s="14">
        <f t="shared" si="4"/>
        <v>40.920000000000009</v>
      </c>
      <c r="AF68" s="13">
        <v>41</v>
      </c>
    </row>
    <row r="69" spans="1:34" x14ac:dyDescent="0.3">
      <c r="A69" s="4">
        <v>6312969071</v>
      </c>
      <c r="B69" s="4" t="s">
        <v>0</v>
      </c>
      <c r="C69" s="4" t="s">
        <v>1</v>
      </c>
      <c r="D69" s="4">
        <v>63</v>
      </c>
      <c r="E69" s="4">
        <v>129</v>
      </c>
      <c r="F69" s="4">
        <v>6907</v>
      </c>
      <c r="G69" s="4">
        <v>1</v>
      </c>
      <c r="H69" s="4" t="s">
        <v>105</v>
      </c>
      <c r="I69" s="8" t="s">
        <v>104</v>
      </c>
      <c r="J69" s="4">
        <v>4326</v>
      </c>
      <c r="K69" s="4">
        <v>1.0304</v>
      </c>
      <c r="L69" s="4" t="s">
        <v>123</v>
      </c>
      <c r="M69" s="4">
        <v>106404354</v>
      </c>
      <c r="N69" s="21">
        <v>45014</v>
      </c>
      <c r="O69" s="20">
        <v>45035</v>
      </c>
      <c r="P69" s="20">
        <v>45062</v>
      </c>
      <c r="Q69" s="2" t="s">
        <v>119</v>
      </c>
      <c r="R69" s="2">
        <v>231686</v>
      </c>
      <c r="S69" s="2">
        <v>6312969071</v>
      </c>
      <c r="T69" s="4">
        <v>1.1599999999999999</v>
      </c>
      <c r="U69" s="2">
        <v>30</v>
      </c>
      <c r="V69" s="2">
        <v>0</v>
      </c>
      <c r="W69" s="2" t="s">
        <v>120</v>
      </c>
      <c r="X69" s="2" t="s">
        <v>121</v>
      </c>
      <c r="Y69" s="2">
        <v>1.8</v>
      </c>
      <c r="Z69" s="2">
        <v>0.18</v>
      </c>
      <c r="AA69" s="2">
        <v>10</v>
      </c>
      <c r="AB69" s="2">
        <v>3.1</v>
      </c>
      <c r="AC69" s="2">
        <v>1.8</v>
      </c>
      <c r="AE69" s="9">
        <f t="shared" si="4"/>
        <v>62.639999999999993</v>
      </c>
      <c r="AF69" s="2">
        <v>63</v>
      </c>
      <c r="AH69" s="2">
        <f>_xlfn.STDEV.P(AF69:AF82)</f>
        <v>14.312831406019665</v>
      </c>
    </row>
    <row r="70" spans="1:34" x14ac:dyDescent="0.3">
      <c r="A70" s="4">
        <v>6312969072</v>
      </c>
      <c r="B70" s="4" t="s">
        <v>0</v>
      </c>
      <c r="C70" s="4" t="s">
        <v>1</v>
      </c>
      <c r="D70" s="4">
        <v>63</v>
      </c>
      <c r="E70" s="4">
        <v>129</v>
      </c>
      <c r="F70" s="4">
        <v>6907</v>
      </c>
      <c r="G70" s="4">
        <v>2</v>
      </c>
      <c r="H70" s="4" t="s">
        <v>105</v>
      </c>
      <c r="I70" s="8" t="s">
        <v>106</v>
      </c>
      <c r="J70" s="4">
        <v>4326</v>
      </c>
      <c r="K70" s="4">
        <v>1.0304</v>
      </c>
      <c r="L70" s="4" t="s">
        <v>123</v>
      </c>
      <c r="M70" s="4">
        <v>106404354</v>
      </c>
      <c r="N70" s="21">
        <v>45014</v>
      </c>
      <c r="O70" s="20">
        <v>45035</v>
      </c>
      <c r="P70" s="20">
        <v>45062</v>
      </c>
      <c r="Q70" s="2" t="s">
        <v>119</v>
      </c>
      <c r="R70" s="2">
        <v>231687</v>
      </c>
      <c r="S70" s="2">
        <v>6312969072</v>
      </c>
      <c r="T70" s="4">
        <v>1.1000000000000001</v>
      </c>
      <c r="U70" s="2">
        <v>30</v>
      </c>
      <c r="V70" s="2">
        <v>0</v>
      </c>
      <c r="W70" s="2" t="s">
        <v>120</v>
      </c>
      <c r="X70" s="2" t="s">
        <v>121</v>
      </c>
      <c r="Y70" s="2">
        <v>2.9</v>
      </c>
      <c r="Z70" s="2">
        <v>0.28000000000000003</v>
      </c>
      <c r="AA70" s="2">
        <v>10</v>
      </c>
      <c r="AB70" s="2">
        <v>4.9000000000000004</v>
      </c>
      <c r="AC70" s="2">
        <v>2.9</v>
      </c>
      <c r="AE70" s="9">
        <f t="shared" si="4"/>
        <v>95.7</v>
      </c>
      <c r="AF70" s="2">
        <v>96</v>
      </c>
    </row>
    <row r="71" spans="1:34" x14ac:dyDescent="0.3">
      <c r="A71" s="4">
        <v>6312969073</v>
      </c>
      <c r="B71" s="4" t="s">
        <v>0</v>
      </c>
      <c r="C71" s="4" t="s">
        <v>1</v>
      </c>
      <c r="D71" s="4">
        <v>63</v>
      </c>
      <c r="E71" s="4">
        <v>129</v>
      </c>
      <c r="F71" s="4">
        <v>6907</v>
      </c>
      <c r="G71" s="4">
        <v>3</v>
      </c>
      <c r="H71" s="4" t="s">
        <v>105</v>
      </c>
      <c r="I71" s="8" t="s">
        <v>107</v>
      </c>
      <c r="J71" s="4">
        <v>4326</v>
      </c>
      <c r="K71" s="4">
        <v>1.0304</v>
      </c>
      <c r="L71" s="4" t="s">
        <v>123</v>
      </c>
      <c r="M71" s="4">
        <v>106404354</v>
      </c>
      <c r="N71" s="21">
        <v>45014</v>
      </c>
      <c r="O71" s="20">
        <v>45035</v>
      </c>
      <c r="P71" s="20">
        <v>45062</v>
      </c>
      <c r="Q71" s="2" t="s">
        <v>119</v>
      </c>
      <c r="R71" s="2">
        <v>231688</v>
      </c>
      <c r="S71" s="2">
        <v>6312969073</v>
      </c>
      <c r="T71" s="4">
        <v>1.1299999999999999</v>
      </c>
      <c r="U71" s="2">
        <v>30</v>
      </c>
      <c r="V71" s="2">
        <v>0</v>
      </c>
      <c r="W71" s="2" t="s">
        <v>120</v>
      </c>
      <c r="X71" s="2" t="s">
        <v>121</v>
      </c>
      <c r="Y71" s="2">
        <v>2.4</v>
      </c>
      <c r="Z71" s="2">
        <v>0.24</v>
      </c>
      <c r="AA71" s="2">
        <v>10</v>
      </c>
      <c r="AB71" s="2">
        <v>4.0999999999999996</v>
      </c>
      <c r="AC71" s="2">
        <v>2.4</v>
      </c>
      <c r="AE71" s="9">
        <f t="shared" si="4"/>
        <v>81.36</v>
      </c>
      <c r="AF71" s="2">
        <v>81</v>
      </c>
    </row>
    <row r="72" spans="1:34" x14ac:dyDescent="0.3">
      <c r="A72" s="4">
        <v>6312969074</v>
      </c>
      <c r="B72" s="4" t="s">
        <v>0</v>
      </c>
      <c r="C72" s="4" t="s">
        <v>1</v>
      </c>
      <c r="D72" s="4">
        <v>63</v>
      </c>
      <c r="E72" s="4">
        <v>129</v>
      </c>
      <c r="F72" s="4">
        <v>6907</v>
      </c>
      <c r="G72" s="4">
        <v>4</v>
      </c>
      <c r="H72" s="4" t="s">
        <v>105</v>
      </c>
      <c r="I72" s="8" t="s">
        <v>108</v>
      </c>
      <c r="J72" s="4">
        <v>4326</v>
      </c>
      <c r="K72" s="4">
        <v>1.0304</v>
      </c>
      <c r="L72" s="4" t="s">
        <v>123</v>
      </c>
      <c r="M72" s="4">
        <v>106404354</v>
      </c>
      <c r="N72" s="21">
        <v>45014</v>
      </c>
      <c r="O72" s="20">
        <v>45035</v>
      </c>
      <c r="P72" s="20">
        <v>45062</v>
      </c>
      <c r="Q72" s="2" t="s">
        <v>119</v>
      </c>
      <c r="R72" s="2">
        <v>231689</v>
      </c>
      <c r="S72" s="2">
        <v>6312969074</v>
      </c>
      <c r="T72" s="4">
        <v>1.1000000000000001</v>
      </c>
      <c r="U72" s="2">
        <v>30</v>
      </c>
      <c r="V72" s="2">
        <v>0</v>
      </c>
      <c r="W72" s="2" t="s">
        <v>120</v>
      </c>
      <c r="X72" s="2" t="s">
        <v>121</v>
      </c>
      <c r="Y72" s="2">
        <v>2.5</v>
      </c>
      <c r="Z72" s="2">
        <v>0.24</v>
      </c>
      <c r="AA72" s="2">
        <v>10</v>
      </c>
      <c r="AB72" s="2">
        <v>4.3</v>
      </c>
      <c r="AC72" s="2">
        <v>2.5</v>
      </c>
      <c r="AE72" s="9">
        <f t="shared" si="4"/>
        <v>82.5</v>
      </c>
      <c r="AF72" s="2">
        <v>83</v>
      </c>
    </row>
    <row r="73" spans="1:34" x14ac:dyDescent="0.3">
      <c r="A73" s="4">
        <v>6312969075</v>
      </c>
      <c r="B73" s="4" t="s">
        <v>0</v>
      </c>
      <c r="C73" s="4" t="s">
        <v>1</v>
      </c>
      <c r="D73" s="4">
        <v>63</v>
      </c>
      <c r="E73" s="4">
        <v>129</v>
      </c>
      <c r="F73" s="4">
        <v>6907</v>
      </c>
      <c r="G73" s="4">
        <v>5</v>
      </c>
      <c r="H73" s="4" t="s">
        <v>105</v>
      </c>
      <c r="I73" s="8" t="s">
        <v>109</v>
      </c>
      <c r="J73" s="4">
        <v>4326</v>
      </c>
      <c r="K73" s="4">
        <v>1.0304</v>
      </c>
      <c r="L73" s="4" t="s">
        <v>123</v>
      </c>
      <c r="M73" s="4">
        <v>106404354</v>
      </c>
      <c r="N73" s="21">
        <v>45014</v>
      </c>
      <c r="O73" s="20">
        <v>45035</v>
      </c>
      <c r="P73" s="20">
        <v>45062</v>
      </c>
      <c r="Q73" s="2" t="s">
        <v>119</v>
      </c>
      <c r="R73" s="2">
        <v>231690</v>
      </c>
      <c r="S73" s="2">
        <v>6312969075</v>
      </c>
      <c r="T73" s="4">
        <v>1.1200000000000001</v>
      </c>
      <c r="U73" s="2">
        <v>30</v>
      </c>
      <c r="V73" s="2">
        <v>0</v>
      </c>
      <c r="W73" s="2" t="s">
        <v>120</v>
      </c>
      <c r="X73" s="2" t="s">
        <v>121</v>
      </c>
      <c r="Y73" s="2">
        <v>2.4</v>
      </c>
      <c r="Z73" s="2">
        <v>0.24</v>
      </c>
      <c r="AA73" s="2">
        <v>10</v>
      </c>
      <c r="AB73" s="2">
        <v>4.2</v>
      </c>
      <c r="AC73" s="2">
        <v>2.4</v>
      </c>
      <c r="AE73" s="9">
        <f t="shared" si="4"/>
        <v>80.64</v>
      </c>
      <c r="AF73" s="2">
        <v>81</v>
      </c>
    </row>
    <row r="74" spans="1:34" x14ac:dyDescent="0.3">
      <c r="A74" s="4">
        <v>6312969076</v>
      </c>
      <c r="B74" s="4" t="s">
        <v>0</v>
      </c>
      <c r="C74" s="4" t="s">
        <v>1</v>
      </c>
      <c r="D74" s="4">
        <v>63</v>
      </c>
      <c r="E74" s="4">
        <v>129</v>
      </c>
      <c r="F74" s="4">
        <v>6907</v>
      </c>
      <c r="G74" s="4">
        <v>6</v>
      </c>
      <c r="H74" s="4" t="s">
        <v>105</v>
      </c>
      <c r="I74" s="8" t="s">
        <v>110</v>
      </c>
      <c r="J74" s="4">
        <v>4326</v>
      </c>
      <c r="K74" s="4">
        <v>1.0304</v>
      </c>
      <c r="L74" s="4" t="s">
        <v>123</v>
      </c>
      <c r="M74" s="4">
        <v>106404354</v>
      </c>
      <c r="N74" s="21">
        <v>45014</v>
      </c>
      <c r="O74" s="20">
        <v>45035</v>
      </c>
      <c r="P74" s="20">
        <v>45062</v>
      </c>
      <c r="Q74" s="2" t="s">
        <v>119</v>
      </c>
      <c r="R74" s="2">
        <v>231691</v>
      </c>
      <c r="S74" s="2">
        <v>6312969076</v>
      </c>
      <c r="T74" s="4">
        <v>1.1000000000000001</v>
      </c>
      <c r="U74" s="2">
        <v>30</v>
      </c>
      <c r="V74" s="2">
        <v>0</v>
      </c>
      <c r="W74" s="2" t="s">
        <v>120</v>
      </c>
      <c r="X74" s="2" t="s">
        <v>121</v>
      </c>
      <c r="Y74" s="2">
        <v>2.1</v>
      </c>
      <c r="Z74" s="2">
        <v>0.21</v>
      </c>
      <c r="AA74" s="2">
        <v>10</v>
      </c>
      <c r="AB74" s="2">
        <v>3.7</v>
      </c>
      <c r="AC74" s="2">
        <v>2.1</v>
      </c>
      <c r="AE74" s="9">
        <f t="shared" si="4"/>
        <v>69.3</v>
      </c>
      <c r="AF74" s="2">
        <v>69</v>
      </c>
    </row>
    <row r="75" spans="1:34" x14ac:dyDescent="0.3">
      <c r="A75" s="4">
        <v>6312969077</v>
      </c>
      <c r="B75" s="4" t="s">
        <v>0</v>
      </c>
      <c r="C75" s="4" t="s">
        <v>1</v>
      </c>
      <c r="D75" s="4">
        <v>63</v>
      </c>
      <c r="E75" s="4">
        <v>129</v>
      </c>
      <c r="F75" s="4">
        <v>6907</v>
      </c>
      <c r="G75" s="4">
        <v>7</v>
      </c>
      <c r="H75" s="4" t="s">
        <v>105</v>
      </c>
      <c r="I75" s="8" t="s">
        <v>111</v>
      </c>
      <c r="J75" s="4">
        <v>4326</v>
      </c>
      <c r="K75" s="4">
        <v>1.0304</v>
      </c>
      <c r="L75" s="4" t="s">
        <v>123</v>
      </c>
      <c r="M75" s="4">
        <v>106404354</v>
      </c>
      <c r="N75" s="21">
        <v>45014</v>
      </c>
      <c r="O75" s="20">
        <v>45035</v>
      </c>
      <c r="P75" s="20">
        <v>45062</v>
      </c>
      <c r="Q75" s="2" t="s">
        <v>119</v>
      </c>
      <c r="R75" s="2">
        <v>231692</v>
      </c>
      <c r="S75" s="2">
        <v>6312969077</v>
      </c>
      <c r="T75" s="4">
        <v>1.1599999999999999</v>
      </c>
      <c r="U75" s="2">
        <v>30</v>
      </c>
      <c r="V75" s="2">
        <v>0</v>
      </c>
      <c r="W75" s="2" t="s">
        <v>120</v>
      </c>
      <c r="X75" s="2" t="s">
        <v>121</v>
      </c>
      <c r="Y75" s="2">
        <v>1.8</v>
      </c>
      <c r="Z75" s="2">
        <v>0.17</v>
      </c>
      <c r="AA75" s="2">
        <v>11</v>
      </c>
      <c r="AB75" s="2">
        <v>3.2</v>
      </c>
      <c r="AC75" s="2">
        <v>1.8</v>
      </c>
      <c r="AE75" s="9">
        <f t="shared" si="4"/>
        <v>62.639999999999993</v>
      </c>
      <c r="AF75" s="2">
        <v>63</v>
      </c>
    </row>
    <row r="76" spans="1:34" x14ac:dyDescent="0.3">
      <c r="A76" s="4">
        <v>6312969078</v>
      </c>
      <c r="B76" s="4" t="s">
        <v>0</v>
      </c>
      <c r="C76" s="4" t="s">
        <v>1</v>
      </c>
      <c r="D76" s="4">
        <v>63</v>
      </c>
      <c r="E76" s="4">
        <v>129</v>
      </c>
      <c r="F76" s="4">
        <v>6907</v>
      </c>
      <c r="G76" s="4">
        <v>8</v>
      </c>
      <c r="H76" s="4" t="s">
        <v>105</v>
      </c>
      <c r="I76" s="8" t="s">
        <v>112</v>
      </c>
      <c r="J76" s="4">
        <v>4326</v>
      </c>
      <c r="K76" s="4">
        <v>1.0304</v>
      </c>
      <c r="L76" s="4" t="s">
        <v>123</v>
      </c>
      <c r="M76" s="4">
        <v>106404354</v>
      </c>
      <c r="N76" s="21">
        <v>45014</v>
      </c>
      <c r="O76" s="20">
        <v>45035</v>
      </c>
      <c r="P76" s="20">
        <v>45062</v>
      </c>
      <c r="Q76" s="2" t="s">
        <v>119</v>
      </c>
      <c r="R76" s="2">
        <v>231693</v>
      </c>
      <c r="S76" s="2">
        <v>6312969078</v>
      </c>
      <c r="T76" s="4">
        <v>1.1499999999999999</v>
      </c>
      <c r="U76" s="2">
        <v>30</v>
      </c>
      <c r="V76" s="2">
        <v>0</v>
      </c>
      <c r="W76" s="2" t="s">
        <v>120</v>
      </c>
      <c r="X76" s="2" t="s">
        <v>121</v>
      </c>
      <c r="Y76" s="2">
        <v>2</v>
      </c>
      <c r="Z76" s="2">
        <v>0.2</v>
      </c>
      <c r="AA76" s="2">
        <v>10</v>
      </c>
      <c r="AB76" s="2">
        <v>3.5</v>
      </c>
      <c r="AC76" s="2">
        <v>2</v>
      </c>
      <c r="AE76" s="9">
        <f t="shared" si="4"/>
        <v>69</v>
      </c>
      <c r="AF76" s="2">
        <v>69</v>
      </c>
    </row>
    <row r="77" spans="1:34" x14ac:dyDescent="0.3">
      <c r="A77" s="4">
        <v>6312969079</v>
      </c>
      <c r="B77" s="4" t="s">
        <v>0</v>
      </c>
      <c r="C77" s="4" t="s">
        <v>1</v>
      </c>
      <c r="D77" s="4">
        <v>63</v>
      </c>
      <c r="E77" s="4">
        <v>129</v>
      </c>
      <c r="F77" s="4">
        <v>6907</v>
      </c>
      <c r="G77" s="4">
        <v>9</v>
      </c>
      <c r="H77" s="4" t="s">
        <v>105</v>
      </c>
      <c r="I77" s="8" t="s">
        <v>113</v>
      </c>
      <c r="J77" s="4">
        <v>4326</v>
      </c>
      <c r="K77" s="4">
        <v>1.0304</v>
      </c>
      <c r="L77" s="4" t="s">
        <v>123</v>
      </c>
      <c r="M77" s="4">
        <v>106404354</v>
      </c>
      <c r="N77" s="21">
        <v>45014</v>
      </c>
      <c r="O77" s="20">
        <v>45035</v>
      </c>
      <c r="P77" s="20">
        <v>45062</v>
      </c>
      <c r="Q77" s="2" t="s">
        <v>119</v>
      </c>
      <c r="R77" s="2">
        <v>231694</v>
      </c>
      <c r="S77" s="2">
        <v>6312969079</v>
      </c>
      <c r="T77" s="4">
        <v>1.1599999999999999</v>
      </c>
      <c r="U77" s="2">
        <v>30</v>
      </c>
      <c r="V77" s="2">
        <v>0</v>
      </c>
      <c r="W77" s="2" t="s">
        <v>120</v>
      </c>
      <c r="X77" s="2" t="s">
        <v>121</v>
      </c>
      <c r="Y77" s="2">
        <v>1.7</v>
      </c>
      <c r="Z77" s="2">
        <v>0.15</v>
      </c>
      <c r="AA77" s="2">
        <v>11</v>
      </c>
      <c r="AB77" s="2">
        <v>2.9</v>
      </c>
      <c r="AC77" s="2">
        <v>1.7</v>
      </c>
      <c r="AE77" s="9">
        <f t="shared" si="4"/>
        <v>59.16</v>
      </c>
      <c r="AF77" s="2">
        <v>59</v>
      </c>
    </row>
    <row r="78" spans="1:34" x14ac:dyDescent="0.3">
      <c r="A78" s="4">
        <v>63129690710</v>
      </c>
      <c r="B78" s="4" t="s">
        <v>0</v>
      </c>
      <c r="C78" s="4" t="s">
        <v>1</v>
      </c>
      <c r="D78" s="4">
        <v>63</v>
      </c>
      <c r="E78" s="4">
        <v>129</v>
      </c>
      <c r="F78" s="4">
        <v>6907</v>
      </c>
      <c r="G78" s="4">
        <v>10</v>
      </c>
      <c r="H78" s="4" t="s">
        <v>105</v>
      </c>
      <c r="I78" s="8" t="s">
        <v>114</v>
      </c>
      <c r="J78" s="4">
        <v>4326</v>
      </c>
      <c r="K78" s="4">
        <v>1.0304</v>
      </c>
      <c r="L78" s="4" t="s">
        <v>123</v>
      </c>
      <c r="M78" s="4">
        <v>106404354</v>
      </c>
      <c r="N78" s="21">
        <v>45014</v>
      </c>
      <c r="O78" s="20">
        <v>45035</v>
      </c>
      <c r="P78" s="20">
        <v>45062</v>
      </c>
      <c r="Q78" s="2" t="s">
        <v>119</v>
      </c>
      <c r="R78" s="2">
        <v>231695</v>
      </c>
      <c r="S78" s="2">
        <v>63129690710</v>
      </c>
      <c r="T78" s="4">
        <v>1.1399999999999999</v>
      </c>
      <c r="U78" s="2">
        <v>30</v>
      </c>
      <c r="V78" s="2">
        <v>0</v>
      </c>
      <c r="W78" s="2" t="s">
        <v>120</v>
      </c>
      <c r="X78" s="2" t="s">
        <v>121</v>
      </c>
      <c r="Y78" s="2">
        <v>1.7</v>
      </c>
      <c r="Z78" s="2">
        <v>0.16</v>
      </c>
      <c r="AA78" s="2">
        <v>11</v>
      </c>
      <c r="AB78" s="2">
        <v>2.9</v>
      </c>
      <c r="AC78" s="2">
        <v>1.7</v>
      </c>
      <c r="AE78" s="9">
        <f t="shared" si="4"/>
        <v>58.139999999999993</v>
      </c>
      <c r="AF78" s="2">
        <v>58</v>
      </c>
    </row>
    <row r="79" spans="1:34" x14ac:dyDescent="0.3">
      <c r="A79" s="4">
        <v>63129690711</v>
      </c>
      <c r="B79" s="4" t="s">
        <v>0</v>
      </c>
      <c r="C79" s="4" t="s">
        <v>1</v>
      </c>
      <c r="D79" s="4">
        <v>63</v>
      </c>
      <c r="E79" s="4">
        <v>129</v>
      </c>
      <c r="F79" s="4">
        <v>6907</v>
      </c>
      <c r="G79" s="4">
        <v>11</v>
      </c>
      <c r="H79" s="4" t="s">
        <v>105</v>
      </c>
      <c r="I79" s="8" t="s">
        <v>115</v>
      </c>
      <c r="J79" s="4">
        <v>4326</v>
      </c>
      <c r="K79" s="4">
        <v>1.0304</v>
      </c>
      <c r="L79" s="4" t="s">
        <v>123</v>
      </c>
      <c r="M79" s="4">
        <v>106404354</v>
      </c>
      <c r="N79" s="21">
        <v>45014</v>
      </c>
      <c r="O79" s="20">
        <v>45035</v>
      </c>
      <c r="P79" s="20">
        <v>45062</v>
      </c>
      <c r="Q79" s="2" t="s">
        <v>119</v>
      </c>
      <c r="R79" s="2">
        <v>231696</v>
      </c>
      <c r="S79" s="2">
        <v>63129690711</v>
      </c>
      <c r="T79" s="4">
        <v>1.1499999999999999</v>
      </c>
      <c r="U79" s="2">
        <v>30</v>
      </c>
      <c r="V79" s="2">
        <v>0</v>
      </c>
      <c r="W79" s="2" t="s">
        <v>120</v>
      </c>
      <c r="X79" s="2" t="s">
        <v>121</v>
      </c>
      <c r="Y79" s="2">
        <v>1.7</v>
      </c>
      <c r="Z79" s="2">
        <v>0.15</v>
      </c>
      <c r="AA79" s="2">
        <v>11</v>
      </c>
      <c r="AB79" s="2">
        <v>2.9</v>
      </c>
      <c r="AC79" s="2">
        <v>1.7</v>
      </c>
      <c r="AE79" s="9">
        <f t="shared" si="4"/>
        <v>58.65</v>
      </c>
      <c r="AF79" s="2">
        <v>59</v>
      </c>
    </row>
    <row r="80" spans="1:34" x14ac:dyDescent="0.3">
      <c r="A80" s="4">
        <v>63129690712</v>
      </c>
      <c r="B80" s="4" t="s">
        <v>0</v>
      </c>
      <c r="C80" s="4" t="s">
        <v>1</v>
      </c>
      <c r="D80" s="4">
        <v>63</v>
      </c>
      <c r="E80" s="4">
        <v>129</v>
      </c>
      <c r="F80" s="4">
        <v>6907</v>
      </c>
      <c r="G80" s="4">
        <v>12</v>
      </c>
      <c r="H80" s="4" t="s">
        <v>105</v>
      </c>
      <c r="I80" s="8" t="s">
        <v>116</v>
      </c>
      <c r="J80" s="4">
        <v>4326</v>
      </c>
      <c r="K80" s="4">
        <v>1.0304</v>
      </c>
      <c r="L80" s="4" t="s">
        <v>123</v>
      </c>
      <c r="M80" s="4">
        <v>106404354</v>
      </c>
      <c r="N80" s="21">
        <v>45014</v>
      </c>
      <c r="O80" s="20">
        <v>45035</v>
      </c>
      <c r="P80" s="20">
        <v>45062</v>
      </c>
      <c r="Q80" s="2" t="s">
        <v>119</v>
      </c>
      <c r="R80" s="2">
        <v>231697</v>
      </c>
      <c r="S80" s="2">
        <v>63129690712</v>
      </c>
      <c r="T80" s="4">
        <v>1.21</v>
      </c>
      <c r="U80" s="2">
        <v>30</v>
      </c>
      <c r="V80" s="2">
        <v>0</v>
      </c>
      <c r="W80" s="2" t="s">
        <v>120</v>
      </c>
      <c r="X80" s="2" t="s">
        <v>121</v>
      </c>
      <c r="Y80" s="2">
        <v>1</v>
      </c>
      <c r="Z80" s="2">
        <v>0.1</v>
      </c>
      <c r="AA80" s="2">
        <v>10</v>
      </c>
      <c r="AB80" s="2">
        <v>1.7</v>
      </c>
      <c r="AC80" s="2">
        <v>1</v>
      </c>
      <c r="AE80" s="9">
        <f t="shared" si="4"/>
        <v>36.299999999999997</v>
      </c>
      <c r="AF80" s="2">
        <v>36</v>
      </c>
    </row>
    <row r="81" spans="1:32" x14ac:dyDescent="0.3">
      <c r="A81" s="4">
        <v>63129690713</v>
      </c>
      <c r="B81" s="4" t="s">
        <v>0</v>
      </c>
      <c r="C81" s="4" t="s">
        <v>1</v>
      </c>
      <c r="D81" s="4">
        <v>63</v>
      </c>
      <c r="E81" s="4">
        <v>129</v>
      </c>
      <c r="F81" s="4">
        <v>6907</v>
      </c>
      <c r="G81" s="4">
        <v>13</v>
      </c>
      <c r="H81" s="4" t="s">
        <v>105</v>
      </c>
      <c r="I81" s="8" t="s">
        <v>117</v>
      </c>
      <c r="J81" s="4">
        <v>4326</v>
      </c>
      <c r="K81" s="4">
        <v>1.0304</v>
      </c>
      <c r="L81" s="4" t="s">
        <v>123</v>
      </c>
      <c r="M81" s="4">
        <v>106404354</v>
      </c>
      <c r="N81" s="21">
        <v>45014</v>
      </c>
      <c r="O81" s="20">
        <v>45035</v>
      </c>
      <c r="P81" s="20">
        <v>45062</v>
      </c>
      <c r="Q81" s="2" t="s">
        <v>119</v>
      </c>
      <c r="R81" s="2">
        <v>231698</v>
      </c>
      <c r="S81" s="2">
        <v>63129690713</v>
      </c>
      <c r="T81" s="4">
        <v>1.18</v>
      </c>
      <c r="U81" s="2">
        <v>30</v>
      </c>
      <c r="V81" s="2">
        <v>0</v>
      </c>
      <c r="W81" s="2" t="s">
        <v>120</v>
      </c>
      <c r="X81" s="2" t="s">
        <v>121</v>
      </c>
      <c r="Y81" s="2">
        <v>1.9</v>
      </c>
      <c r="Z81" s="2">
        <v>0.17</v>
      </c>
      <c r="AA81" s="2">
        <v>11</v>
      </c>
      <c r="AB81" s="2">
        <v>3.2</v>
      </c>
      <c r="AC81" s="2">
        <v>1.9</v>
      </c>
      <c r="AE81" s="9">
        <f t="shared" si="4"/>
        <v>67.259999999999991</v>
      </c>
      <c r="AF81" s="2">
        <v>67</v>
      </c>
    </row>
    <row r="82" spans="1:32" x14ac:dyDescent="0.3">
      <c r="A82" s="4">
        <v>63129690714</v>
      </c>
      <c r="B82" s="4" t="s">
        <v>0</v>
      </c>
      <c r="C82" s="4" t="s">
        <v>1</v>
      </c>
      <c r="D82" s="4">
        <v>63</v>
      </c>
      <c r="E82" s="4">
        <v>129</v>
      </c>
      <c r="F82" s="4">
        <v>6907</v>
      </c>
      <c r="G82" s="4">
        <v>14</v>
      </c>
      <c r="H82" s="4" t="s">
        <v>105</v>
      </c>
      <c r="I82" s="8" t="s">
        <v>118</v>
      </c>
      <c r="J82" s="4">
        <v>4326</v>
      </c>
      <c r="K82" s="4">
        <v>1.0304</v>
      </c>
      <c r="L82" s="4" t="s">
        <v>123</v>
      </c>
      <c r="M82" s="4">
        <v>106404354</v>
      </c>
      <c r="N82" s="21">
        <v>45014</v>
      </c>
      <c r="O82" s="20">
        <v>45035</v>
      </c>
      <c r="P82" s="20">
        <v>45062</v>
      </c>
      <c r="Q82" s="2" t="s">
        <v>119</v>
      </c>
      <c r="R82" s="2">
        <v>231699</v>
      </c>
      <c r="S82" s="2">
        <v>63129690714</v>
      </c>
      <c r="T82" s="4">
        <v>1.19</v>
      </c>
      <c r="U82" s="2">
        <v>30</v>
      </c>
      <c r="V82" s="2">
        <v>0</v>
      </c>
      <c r="W82" s="2" t="s">
        <v>120</v>
      </c>
      <c r="X82" s="2" t="s">
        <v>121</v>
      </c>
      <c r="Y82" s="2">
        <v>1.5</v>
      </c>
      <c r="Z82" s="2">
        <v>0.18</v>
      </c>
      <c r="AA82" s="2">
        <v>8</v>
      </c>
      <c r="AB82" s="2">
        <v>2.6</v>
      </c>
      <c r="AC82" s="2">
        <v>1.5</v>
      </c>
      <c r="AE82" s="9">
        <f t="shared" si="4"/>
        <v>53.55</v>
      </c>
      <c r="AF82" s="2">
        <v>54</v>
      </c>
    </row>
  </sheetData>
  <sheetProtection selectLockedCells="1"/>
  <phoneticPr fontId="2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f5b8274-46b8-4a8f-a999-a805dea4a360">
      <UserInfo>
        <DisplayName>Hywel Evans</DisplayName>
        <AccountId>16</AccountId>
        <AccountType/>
      </UserInfo>
    </SharedWithUsers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F79AF-0243-4AAB-B820-3C1BDE5AEA76}"/>
</file>

<file path=customXml/itemProps2.xml><?xml version="1.0" encoding="utf-8"?>
<ds:datastoreItem xmlns:ds="http://schemas.openxmlformats.org/officeDocument/2006/customXml" ds:itemID="{10A29531-1283-45F8-9A8D-3D1170F1B5F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f5b8274-46b8-4a8f-a999-a805dea4a360"/>
    <ds:schemaRef ds:uri="http://purl.org/dc/terms/"/>
    <ds:schemaRef ds:uri="d3026fb0-012e-4ba3-96ac-2fe01d72ee3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Sample Record</vt:lpstr>
      <vt:lpstr>Chart1</vt:lpstr>
      <vt:lpstr>'Sample Record'!Print_Area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RAFWSAA</dc:creator>
  <cp:keywords/>
  <dc:description/>
  <cp:lastModifiedBy>Hannah Baldwin</cp:lastModifiedBy>
  <cp:revision/>
  <cp:lastPrinted>2022-06-16T19:33:48Z</cp:lastPrinted>
  <dcterms:created xsi:type="dcterms:W3CDTF">2022-06-11T16:45:09Z</dcterms:created>
  <dcterms:modified xsi:type="dcterms:W3CDTF">2024-05-08T14:01:17Z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11187000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