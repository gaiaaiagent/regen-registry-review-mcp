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Projects/Shared Documents/Projects/Projects Completed/2022 (Sampled Sep 2022 - April 2023)/63129Nees22 - Copy/Net Results/20230404/"/>
    </mc:Choice>
  </mc:AlternateContent>
  <xr:revisionPtr revIDLastSave="1" documentId="8_{3F9875EC-B4E6-4670-A4B9-F4DC17127609}" xr6:coauthVersionLast="47" xr6:coauthVersionMax="47" xr10:uidLastSave="{C55974C0-D3EE-4574-85D2-BEF5C6ACE848}"/>
  <bookViews>
    <workbookView xWindow="-14805" yWindow="-16320" windowWidth="29040" windowHeight="15720" xr2:uid="{3C6B6899-4D0E-4762-8571-BD707001F383}"/>
  </bookViews>
  <sheets>
    <sheet name="63129Nees22_Sample_Net_Result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2" i="1"/>
</calcChain>
</file>

<file path=xl/sharedStrings.xml><?xml version="1.0" encoding="utf-8"?>
<sst xmlns="http://schemas.openxmlformats.org/spreadsheetml/2006/main" count="595" uniqueCount="51">
  <si>
    <t>Label</t>
  </si>
  <si>
    <t>NRMRef</t>
  </si>
  <si>
    <t>CCRef</t>
  </si>
  <si>
    <t>CustID</t>
  </si>
  <si>
    <t>ProjID</t>
  </si>
  <si>
    <t>ParcelID</t>
  </si>
  <si>
    <t>BlockID</t>
  </si>
  <si>
    <t>FieldName</t>
  </si>
  <si>
    <t>EPSG</t>
  </si>
  <si>
    <t>Area</t>
  </si>
  <si>
    <t>SBI</t>
  </si>
  <si>
    <t>Date</t>
  </si>
  <si>
    <t>Received</t>
  </si>
  <si>
    <t>Reported</t>
  </si>
  <si>
    <t>Origine</t>
  </si>
  <si>
    <t>SmplNo</t>
  </si>
  <si>
    <t>SmplRef</t>
  </si>
  <si>
    <t>BD</t>
  </si>
  <si>
    <t>Depth</t>
  </si>
  <si>
    <t>Stone</t>
  </si>
  <si>
    <t>Carbonate</t>
  </si>
  <si>
    <t>SIC</t>
  </si>
  <si>
    <t>TotC</t>
  </si>
  <si>
    <t>TotN</t>
  </si>
  <si>
    <t>CN</t>
  </si>
  <si>
    <t>OM</t>
  </si>
  <si>
    <t>SOC</t>
  </si>
  <si>
    <t>ActC</t>
  </si>
  <si>
    <t>ActSOC</t>
  </si>
  <si>
    <t>SOCS</t>
  </si>
  <si>
    <t>Pcount</t>
  </si>
  <si>
    <t>Psum</t>
  </si>
  <si>
    <t>Pmean</t>
  </si>
  <si>
    <t>Pstdev</t>
  </si>
  <si>
    <t>Pmin</t>
  </si>
  <si>
    <t>Pmax</t>
  </si>
  <si>
    <t>Y631</t>
  </si>
  <si>
    <t>A421</t>
  </si>
  <si>
    <t>P4</t>
  </si>
  <si>
    <t>Winter Wheat</t>
  </si>
  <si>
    <t>63 129</t>
  </si>
  <si>
    <t>NC</t>
  </si>
  <si>
    <t>&lt;0.1</t>
  </si>
  <si>
    <t>P5</t>
  </si>
  <si>
    <t>P8</t>
  </si>
  <si>
    <t>L3</t>
  </si>
  <si>
    <t>Spring Barley</t>
  </si>
  <si>
    <t>SC</t>
  </si>
  <si>
    <t>APE</t>
  </si>
  <si>
    <t>MAPE</t>
  </si>
  <si>
    <t>PrevCrop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</si>
</sst>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51A2-00EC-4D2B-AA0A-C8E375C44D0F}">
  <dimension ref="A1:AM81"/>
  <sheetViews>
    <sheetView tabSelected="1" workbookViewId="0">
      <selection activeCell="K2" sqref="K2"/>
    </sheetView>
  </sheetViews>
  <sheetFormatPr defaultRowHeight="14.4" x14ac:dyDescent="0.3"/>
  <cols>
    <col min="13" max="13" width="10.8867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48</v>
      </c>
      <c r="AM1" t="s">
        <v>49</v>
      </c>
    </row>
    <row r="2" spans="1:39" x14ac:dyDescent="0.3">
      <c r="A2">
        <v>6312977911</v>
      </c>
      <c r="B2" t="s">
        <v>36</v>
      </c>
      <c r="C2" t="s">
        <v>37</v>
      </c>
      <c r="D2">
        <v>63</v>
      </c>
      <c r="E2">
        <v>129</v>
      </c>
      <c r="F2">
        <v>779</v>
      </c>
      <c r="G2">
        <v>11</v>
      </c>
      <c r="H2" t="s">
        <v>38</v>
      </c>
      <c r="I2">
        <v>4326</v>
      </c>
      <c r="J2">
        <v>0.99430321436547997</v>
      </c>
      <c r="K2" t="s">
        <v>39</v>
      </c>
      <c r="L2">
        <v>106404354</v>
      </c>
      <c r="M2" s="1">
        <v>45014</v>
      </c>
      <c r="N2" s="1">
        <v>45034</v>
      </c>
      <c r="O2" s="1">
        <v>45098</v>
      </c>
      <c r="P2" t="s">
        <v>40</v>
      </c>
      <c r="Q2">
        <v>231628</v>
      </c>
      <c r="R2">
        <v>6312977911</v>
      </c>
      <c r="S2">
        <v>1.19</v>
      </c>
      <c r="T2">
        <v>30</v>
      </c>
      <c r="U2">
        <v>0</v>
      </c>
      <c r="V2" t="s">
        <v>41</v>
      </c>
      <c r="W2" t="s">
        <v>42</v>
      </c>
      <c r="X2">
        <v>1.1000000000000001</v>
      </c>
      <c r="Y2">
        <v>0.1</v>
      </c>
      <c r="Z2">
        <v>11</v>
      </c>
      <c r="AA2">
        <v>1.9</v>
      </c>
      <c r="AB2">
        <v>1.1000000000000001</v>
      </c>
      <c r="AD2">
        <v>39.270000000000003</v>
      </c>
      <c r="AE2">
        <v>39</v>
      </c>
      <c r="AF2">
        <v>110</v>
      </c>
      <c r="AG2">
        <v>5204.7070184554204</v>
      </c>
      <c r="AH2">
        <v>47.315518349594697</v>
      </c>
      <c r="AI2">
        <v>11.2224090203002</v>
      </c>
      <c r="AJ2">
        <v>19.743192380590202</v>
      </c>
      <c r="AK2">
        <v>116.842589284471</v>
      </c>
      <c r="AL2">
        <f>ABS(AD2-AH2)/AD2</f>
        <v>0.20487696332046584</v>
      </c>
      <c r="AM2">
        <v>0.10088891223410658</v>
      </c>
    </row>
    <row r="3" spans="1:39" x14ac:dyDescent="0.3">
      <c r="A3">
        <v>6312977915</v>
      </c>
      <c r="B3" t="s">
        <v>36</v>
      </c>
      <c r="C3" t="s">
        <v>37</v>
      </c>
      <c r="D3">
        <v>63</v>
      </c>
      <c r="E3">
        <v>129</v>
      </c>
      <c r="F3">
        <v>779</v>
      </c>
      <c r="G3">
        <v>15</v>
      </c>
      <c r="H3" t="s">
        <v>38</v>
      </c>
      <c r="I3">
        <v>4326</v>
      </c>
      <c r="J3">
        <v>1.02191132508926</v>
      </c>
      <c r="K3" t="s">
        <v>39</v>
      </c>
      <c r="L3">
        <v>106404354</v>
      </c>
      <c r="M3" s="1">
        <v>45014</v>
      </c>
      <c r="N3" s="1">
        <v>45062</v>
      </c>
      <c r="O3" s="1">
        <v>45062</v>
      </c>
      <c r="P3" t="s">
        <v>40</v>
      </c>
      <c r="Q3">
        <v>233430</v>
      </c>
      <c r="R3">
        <v>6312977915</v>
      </c>
      <c r="S3">
        <v>1.21</v>
      </c>
      <c r="T3">
        <v>30</v>
      </c>
      <c r="U3">
        <v>0</v>
      </c>
      <c r="V3" t="s">
        <v>41</v>
      </c>
      <c r="W3" t="s">
        <v>42</v>
      </c>
      <c r="X3">
        <v>1</v>
      </c>
      <c r="Y3">
        <v>0.1</v>
      </c>
      <c r="Z3">
        <v>10</v>
      </c>
      <c r="AA3">
        <v>1.8</v>
      </c>
      <c r="AB3">
        <v>1</v>
      </c>
      <c r="AD3">
        <v>36.299999999999898</v>
      </c>
      <c r="AE3">
        <v>36</v>
      </c>
      <c r="AF3">
        <v>93</v>
      </c>
      <c r="AG3">
        <v>4037.2693223689698</v>
      </c>
      <c r="AH3">
        <v>43.411498089988903</v>
      </c>
      <c r="AI3">
        <v>9.8101817569533196</v>
      </c>
      <c r="AJ3">
        <v>26.344284177405001</v>
      </c>
      <c r="AK3">
        <v>110.836652674947</v>
      </c>
      <c r="AL3">
        <f t="shared" ref="AL3:AL65" si="0">ABS(AD3-AH3)/AD3</f>
        <v>0.19590903829170869</v>
      </c>
      <c r="AM3">
        <v>0.10088891223410658</v>
      </c>
    </row>
    <row r="4" spans="1:39" x14ac:dyDescent="0.3">
      <c r="A4">
        <v>6312977917</v>
      </c>
      <c r="B4" t="s">
        <v>36</v>
      </c>
      <c r="C4" t="s">
        <v>37</v>
      </c>
      <c r="D4">
        <v>63</v>
      </c>
      <c r="E4">
        <v>129</v>
      </c>
      <c r="F4">
        <v>779</v>
      </c>
      <c r="G4">
        <v>17</v>
      </c>
      <c r="H4" t="s">
        <v>38</v>
      </c>
      <c r="I4">
        <v>4326</v>
      </c>
      <c r="J4">
        <v>1.04540406379774</v>
      </c>
      <c r="K4" t="s">
        <v>39</v>
      </c>
      <c r="L4">
        <v>106404354</v>
      </c>
      <c r="M4" s="1">
        <v>45014</v>
      </c>
      <c r="N4" s="1">
        <v>45062</v>
      </c>
      <c r="O4" s="1">
        <v>45062</v>
      </c>
      <c r="P4" t="s">
        <v>40</v>
      </c>
      <c r="Q4">
        <v>233432</v>
      </c>
      <c r="R4">
        <v>6312977917</v>
      </c>
      <c r="S4">
        <v>1.22</v>
      </c>
      <c r="T4">
        <v>30</v>
      </c>
      <c r="U4">
        <v>0</v>
      </c>
      <c r="V4" t="s">
        <v>41</v>
      </c>
      <c r="W4" t="s">
        <v>42</v>
      </c>
      <c r="X4">
        <v>0.8</v>
      </c>
      <c r="Y4">
        <v>0.08</v>
      </c>
      <c r="Z4">
        <v>10</v>
      </c>
      <c r="AA4">
        <v>1.4</v>
      </c>
      <c r="AB4">
        <v>0.8</v>
      </c>
      <c r="AD4">
        <v>29.28</v>
      </c>
      <c r="AE4">
        <v>29</v>
      </c>
      <c r="AF4">
        <v>108</v>
      </c>
      <c r="AG4">
        <v>3363.1875566355602</v>
      </c>
      <c r="AH4">
        <v>31.140625524403401</v>
      </c>
      <c r="AI4">
        <v>4.4178422951133198</v>
      </c>
      <c r="AJ4">
        <v>20.392107863270098</v>
      </c>
      <c r="AK4">
        <v>44.020775130379597</v>
      </c>
      <c r="AL4">
        <f t="shared" si="0"/>
        <v>6.3545953702301899E-2</v>
      </c>
      <c r="AM4">
        <v>0.10088891223410658</v>
      </c>
    </row>
    <row r="5" spans="1:39" x14ac:dyDescent="0.3">
      <c r="A5">
        <v>6312977918</v>
      </c>
      <c r="B5" t="s">
        <v>36</v>
      </c>
      <c r="C5" t="s">
        <v>37</v>
      </c>
      <c r="D5">
        <v>63</v>
      </c>
      <c r="E5">
        <v>129</v>
      </c>
      <c r="F5">
        <v>779</v>
      </c>
      <c r="G5">
        <v>18</v>
      </c>
      <c r="H5" t="s">
        <v>38</v>
      </c>
      <c r="I5">
        <v>4326</v>
      </c>
      <c r="J5">
        <v>1.0238573196332901</v>
      </c>
      <c r="K5" t="s">
        <v>39</v>
      </c>
      <c r="L5">
        <v>106404354</v>
      </c>
      <c r="M5" s="1">
        <v>45014</v>
      </c>
      <c r="N5" s="1">
        <v>45062</v>
      </c>
      <c r="O5" s="1">
        <v>45062</v>
      </c>
      <c r="P5" t="s">
        <v>40</v>
      </c>
      <c r="Q5">
        <v>233433</v>
      </c>
      <c r="R5">
        <v>6312977918</v>
      </c>
      <c r="S5">
        <v>1.21</v>
      </c>
      <c r="T5">
        <v>30</v>
      </c>
      <c r="U5">
        <v>0</v>
      </c>
      <c r="V5" t="s">
        <v>41</v>
      </c>
      <c r="W5" t="s">
        <v>42</v>
      </c>
      <c r="X5">
        <v>0.8</v>
      </c>
      <c r="Y5">
        <v>0.09</v>
      </c>
      <c r="Z5">
        <v>9</v>
      </c>
      <c r="AA5">
        <v>1.4</v>
      </c>
      <c r="AB5">
        <v>0.8</v>
      </c>
      <c r="AD5">
        <v>29.0399999999999</v>
      </c>
      <c r="AE5">
        <v>29</v>
      </c>
      <c r="AF5">
        <v>109</v>
      </c>
      <c r="AG5">
        <v>4761.5103474152302</v>
      </c>
      <c r="AH5">
        <v>43.6835811689471</v>
      </c>
      <c r="AI5">
        <v>14.5363929659792</v>
      </c>
      <c r="AJ5">
        <v>7.8288196568542103</v>
      </c>
      <c r="AK5">
        <v>85.530857521641096</v>
      </c>
      <c r="AL5">
        <f t="shared" si="0"/>
        <v>0.50425554989487775</v>
      </c>
      <c r="AM5">
        <v>0.10088891223410658</v>
      </c>
    </row>
    <row r="6" spans="1:39" x14ac:dyDescent="0.3">
      <c r="A6">
        <v>6312977919</v>
      </c>
      <c r="B6" t="s">
        <v>36</v>
      </c>
      <c r="C6" t="s">
        <v>37</v>
      </c>
      <c r="D6">
        <v>63</v>
      </c>
      <c r="E6">
        <v>129</v>
      </c>
      <c r="F6">
        <v>779</v>
      </c>
      <c r="G6">
        <v>19</v>
      </c>
      <c r="H6" t="s">
        <v>38</v>
      </c>
      <c r="I6">
        <v>4326</v>
      </c>
      <c r="J6">
        <v>0.98788210554178701</v>
      </c>
      <c r="K6" t="s">
        <v>39</v>
      </c>
      <c r="L6">
        <v>106404354</v>
      </c>
      <c r="M6" s="1">
        <v>45014</v>
      </c>
      <c r="N6" s="1">
        <v>45062</v>
      </c>
      <c r="O6" s="1">
        <v>45062</v>
      </c>
      <c r="P6" t="s">
        <v>40</v>
      </c>
      <c r="Q6">
        <v>233434</v>
      </c>
      <c r="R6">
        <v>6312977919</v>
      </c>
      <c r="S6">
        <v>1.2</v>
      </c>
      <c r="T6">
        <v>30</v>
      </c>
      <c r="U6">
        <v>0</v>
      </c>
      <c r="V6" t="s">
        <v>41</v>
      </c>
      <c r="W6" t="s">
        <v>42</v>
      </c>
      <c r="X6">
        <v>1.3</v>
      </c>
      <c r="Y6">
        <v>0.13</v>
      </c>
      <c r="Z6">
        <v>9</v>
      </c>
      <c r="AA6">
        <v>2.1</v>
      </c>
      <c r="AB6">
        <v>1.2</v>
      </c>
      <c r="AD6">
        <v>43.2</v>
      </c>
      <c r="AE6">
        <v>43</v>
      </c>
      <c r="AF6">
        <v>96</v>
      </c>
      <c r="AG6">
        <v>4256.22877655913</v>
      </c>
      <c r="AH6">
        <v>44.335716422490997</v>
      </c>
      <c r="AI6">
        <v>13.1730014870266</v>
      </c>
      <c r="AJ6">
        <v>2.6370385126259301</v>
      </c>
      <c r="AK6">
        <v>92.368759031661895</v>
      </c>
      <c r="AL6">
        <f t="shared" si="0"/>
        <v>2.6289732002106332E-2</v>
      </c>
      <c r="AM6">
        <v>0.10088891223410658</v>
      </c>
    </row>
    <row r="7" spans="1:39" x14ac:dyDescent="0.3">
      <c r="A7">
        <v>6312977920</v>
      </c>
      <c r="B7" t="s">
        <v>36</v>
      </c>
      <c r="C7" t="s">
        <v>37</v>
      </c>
      <c r="D7">
        <v>63</v>
      </c>
      <c r="E7">
        <v>129</v>
      </c>
      <c r="F7">
        <v>779</v>
      </c>
      <c r="G7">
        <v>20</v>
      </c>
      <c r="H7" t="s">
        <v>38</v>
      </c>
      <c r="I7">
        <v>4326</v>
      </c>
      <c r="J7">
        <v>1.0125329874464799</v>
      </c>
      <c r="K7" t="s">
        <v>39</v>
      </c>
      <c r="L7">
        <v>106404354</v>
      </c>
      <c r="M7" s="1">
        <v>45014</v>
      </c>
      <c r="N7" s="1">
        <v>45062</v>
      </c>
      <c r="O7" s="1">
        <v>45062</v>
      </c>
      <c r="P7" t="s">
        <v>40</v>
      </c>
      <c r="Q7">
        <v>233435</v>
      </c>
      <c r="R7">
        <v>6312977920</v>
      </c>
      <c r="S7">
        <v>1.23</v>
      </c>
      <c r="T7">
        <v>30</v>
      </c>
      <c r="U7">
        <v>0</v>
      </c>
      <c r="V7" t="s">
        <v>41</v>
      </c>
      <c r="W7" t="s">
        <v>42</v>
      </c>
      <c r="X7">
        <v>0.8</v>
      </c>
      <c r="Y7">
        <v>0.08</v>
      </c>
      <c r="Z7">
        <v>10</v>
      </c>
      <c r="AA7">
        <v>1.3</v>
      </c>
      <c r="AB7">
        <v>0.8</v>
      </c>
      <c r="AD7">
        <v>29.52</v>
      </c>
      <c r="AE7">
        <v>30</v>
      </c>
      <c r="AF7">
        <v>100</v>
      </c>
      <c r="AG7">
        <v>4130.0945919877604</v>
      </c>
      <c r="AH7">
        <v>41.300945919877599</v>
      </c>
      <c r="AI7">
        <v>16.700058091651201</v>
      </c>
      <c r="AJ7">
        <v>17.79394867509</v>
      </c>
      <c r="AK7">
        <v>120.94174518472801</v>
      </c>
      <c r="AL7">
        <f t="shared" si="0"/>
        <v>0.39908353387119239</v>
      </c>
      <c r="AM7">
        <v>0.10088891223410658</v>
      </c>
    </row>
    <row r="8" spans="1:39" x14ac:dyDescent="0.3">
      <c r="A8">
        <v>6312938661</v>
      </c>
      <c r="B8" t="s">
        <v>36</v>
      </c>
      <c r="C8" t="s">
        <v>37</v>
      </c>
      <c r="D8">
        <v>63</v>
      </c>
      <c r="E8">
        <v>129</v>
      </c>
      <c r="F8">
        <v>3866</v>
      </c>
      <c r="G8">
        <v>1</v>
      </c>
      <c r="H8" t="s">
        <v>43</v>
      </c>
      <c r="I8">
        <v>4326</v>
      </c>
      <c r="J8">
        <v>0.99356441440838805</v>
      </c>
      <c r="K8" t="s">
        <v>39</v>
      </c>
      <c r="L8">
        <v>106404354</v>
      </c>
      <c r="M8" s="1">
        <v>45014</v>
      </c>
      <c r="N8" s="1">
        <v>45035</v>
      </c>
      <c r="O8" s="1">
        <v>45062</v>
      </c>
      <c r="P8" t="s">
        <v>40</v>
      </c>
      <c r="Q8">
        <v>231674</v>
      </c>
      <c r="R8">
        <v>6312938661</v>
      </c>
      <c r="S8">
        <v>1.1599999999999999</v>
      </c>
      <c r="T8">
        <v>30</v>
      </c>
      <c r="U8">
        <v>0</v>
      </c>
      <c r="V8" t="s">
        <v>41</v>
      </c>
      <c r="W8" t="s">
        <v>42</v>
      </c>
      <c r="X8">
        <v>1.4</v>
      </c>
      <c r="Y8">
        <v>0.13</v>
      </c>
      <c r="Z8">
        <v>11</v>
      </c>
      <c r="AA8">
        <v>2.4</v>
      </c>
      <c r="AB8">
        <v>1.4</v>
      </c>
      <c r="AD8">
        <v>48.719999999999899</v>
      </c>
      <c r="AE8">
        <v>49</v>
      </c>
      <c r="AF8">
        <v>99</v>
      </c>
      <c r="AG8">
        <v>5461.4602711685202</v>
      </c>
      <c r="AH8">
        <v>55.166265365338603</v>
      </c>
      <c r="AI8">
        <v>15.7986262032673</v>
      </c>
      <c r="AJ8">
        <v>4.4866181097682896</v>
      </c>
      <c r="AK8">
        <v>112.988010618898</v>
      </c>
      <c r="AL8">
        <f t="shared" si="0"/>
        <v>0.13231250749874213</v>
      </c>
      <c r="AM8">
        <v>0.10088891223410658</v>
      </c>
    </row>
    <row r="9" spans="1:39" x14ac:dyDescent="0.3">
      <c r="A9">
        <v>6312938662</v>
      </c>
      <c r="B9" t="s">
        <v>36</v>
      </c>
      <c r="C9" t="s">
        <v>37</v>
      </c>
      <c r="D9">
        <v>63</v>
      </c>
      <c r="E9">
        <v>129</v>
      </c>
      <c r="F9">
        <v>3866</v>
      </c>
      <c r="G9">
        <v>2</v>
      </c>
      <c r="H9" t="s">
        <v>43</v>
      </c>
      <c r="I9">
        <v>4326</v>
      </c>
      <c r="J9">
        <v>1.0250751749001601</v>
      </c>
      <c r="K9" t="s">
        <v>39</v>
      </c>
      <c r="L9">
        <v>106404354</v>
      </c>
      <c r="M9" s="1">
        <v>45014</v>
      </c>
      <c r="N9" s="1">
        <v>45035</v>
      </c>
      <c r="O9" s="1">
        <v>45062</v>
      </c>
      <c r="P9" t="s">
        <v>40</v>
      </c>
      <c r="Q9">
        <v>231675</v>
      </c>
      <c r="R9">
        <v>6312938662</v>
      </c>
      <c r="S9">
        <v>1.18</v>
      </c>
      <c r="T9">
        <v>30</v>
      </c>
      <c r="U9">
        <v>0</v>
      </c>
      <c r="V9" t="s">
        <v>41</v>
      </c>
      <c r="W9" t="s">
        <v>42</v>
      </c>
      <c r="X9">
        <v>1.3</v>
      </c>
      <c r="Y9">
        <v>0.12</v>
      </c>
      <c r="Z9">
        <v>11</v>
      </c>
      <c r="AA9">
        <v>2.2000000000000002</v>
      </c>
      <c r="AB9">
        <v>1.3</v>
      </c>
      <c r="AD9">
        <v>46.02</v>
      </c>
      <c r="AE9">
        <v>46</v>
      </c>
      <c r="AF9">
        <v>98</v>
      </c>
      <c r="AG9">
        <v>5289.0993695468696</v>
      </c>
      <c r="AH9">
        <v>53.970401730070101</v>
      </c>
      <c r="AI9">
        <v>14.6628839500684</v>
      </c>
      <c r="AJ9">
        <v>14.4247750199255</v>
      </c>
      <c r="AK9">
        <v>92.382766538490699</v>
      </c>
      <c r="AL9">
        <f t="shared" si="0"/>
        <v>0.1727597073026966</v>
      </c>
      <c r="AM9">
        <v>0.10088891223410658</v>
      </c>
    </row>
    <row r="10" spans="1:39" x14ac:dyDescent="0.3">
      <c r="A10">
        <v>6312938663</v>
      </c>
      <c r="B10" t="s">
        <v>36</v>
      </c>
      <c r="C10" t="s">
        <v>37</v>
      </c>
      <c r="D10">
        <v>63</v>
      </c>
      <c r="E10">
        <v>129</v>
      </c>
      <c r="F10">
        <v>3866</v>
      </c>
      <c r="G10">
        <v>3</v>
      </c>
      <c r="H10" t="s">
        <v>43</v>
      </c>
      <c r="I10">
        <v>4326</v>
      </c>
      <c r="J10">
        <v>1.0314495611666299</v>
      </c>
      <c r="K10" t="s">
        <v>39</v>
      </c>
      <c r="L10">
        <v>106404354</v>
      </c>
      <c r="M10" s="1">
        <v>45014</v>
      </c>
      <c r="N10" s="1">
        <v>45035</v>
      </c>
      <c r="O10" s="1">
        <v>45062</v>
      </c>
      <c r="P10" t="s">
        <v>40</v>
      </c>
      <c r="Q10">
        <v>231676</v>
      </c>
      <c r="R10">
        <v>6312938663</v>
      </c>
      <c r="S10">
        <v>1.1499999999999999</v>
      </c>
      <c r="T10">
        <v>30</v>
      </c>
      <c r="U10">
        <v>0</v>
      </c>
      <c r="V10" t="s">
        <v>41</v>
      </c>
      <c r="W10" t="s">
        <v>42</v>
      </c>
      <c r="X10">
        <v>1.6</v>
      </c>
      <c r="Y10">
        <v>0.14000000000000001</v>
      </c>
      <c r="Z10">
        <v>11</v>
      </c>
      <c r="AA10">
        <v>2.8</v>
      </c>
      <c r="AB10">
        <v>1.6</v>
      </c>
      <c r="AD10">
        <v>55.2</v>
      </c>
      <c r="AE10">
        <v>55</v>
      </c>
      <c r="AF10">
        <v>97</v>
      </c>
      <c r="AG10">
        <v>5669.3789164767504</v>
      </c>
      <c r="AH10">
        <v>58.447205324502598</v>
      </c>
      <c r="AI10">
        <v>12.6840929886732</v>
      </c>
      <c r="AJ10">
        <v>22.090235567227399</v>
      </c>
      <c r="AK10">
        <v>129.02673270348001</v>
      </c>
      <c r="AL10">
        <f t="shared" si="0"/>
        <v>5.8826183414902075E-2</v>
      </c>
      <c r="AM10">
        <v>0.10088891223410658</v>
      </c>
    </row>
    <row r="11" spans="1:39" x14ac:dyDescent="0.3">
      <c r="A11">
        <v>6312969071</v>
      </c>
      <c r="B11" t="s">
        <v>36</v>
      </c>
      <c r="C11" t="s">
        <v>37</v>
      </c>
      <c r="D11">
        <v>63</v>
      </c>
      <c r="E11">
        <v>129</v>
      </c>
      <c r="F11">
        <v>6907</v>
      </c>
      <c r="G11">
        <v>1</v>
      </c>
      <c r="H11" t="s">
        <v>44</v>
      </c>
      <c r="I11">
        <v>4326</v>
      </c>
      <c r="J11">
        <v>0.97390674621200601</v>
      </c>
      <c r="K11" t="s">
        <v>39</v>
      </c>
      <c r="L11">
        <v>106404354</v>
      </c>
      <c r="M11" s="1">
        <v>45014</v>
      </c>
      <c r="N11" s="1">
        <v>45035</v>
      </c>
      <c r="O11" s="1">
        <v>45062</v>
      </c>
      <c r="P11" t="s">
        <v>40</v>
      </c>
      <c r="Q11">
        <v>231686</v>
      </c>
      <c r="R11">
        <v>6312969071</v>
      </c>
      <c r="S11">
        <v>1.1599999999999999</v>
      </c>
      <c r="T11">
        <v>30</v>
      </c>
      <c r="U11">
        <v>0</v>
      </c>
      <c r="V11" t="s">
        <v>41</v>
      </c>
      <c r="W11" t="s">
        <v>42</v>
      </c>
      <c r="X11">
        <v>1.8</v>
      </c>
      <c r="Y11">
        <v>0.18</v>
      </c>
      <c r="Z11">
        <v>10</v>
      </c>
      <c r="AA11">
        <v>3.1</v>
      </c>
      <c r="AB11">
        <v>1.8</v>
      </c>
      <c r="AD11">
        <v>62.64</v>
      </c>
      <c r="AE11">
        <v>63</v>
      </c>
      <c r="AF11">
        <v>88</v>
      </c>
      <c r="AG11">
        <v>5378.2071145162199</v>
      </c>
      <c r="AH11">
        <v>61.115989937684297</v>
      </c>
      <c r="AI11">
        <v>19.061785126602199</v>
      </c>
      <c r="AJ11">
        <v>-8.6914215857747692</v>
      </c>
      <c r="AK11">
        <v>128.83011519471299</v>
      </c>
      <c r="AL11">
        <f t="shared" si="0"/>
        <v>2.4329662552932684E-2</v>
      </c>
      <c r="AM11">
        <v>0.10088891223410658</v>
      </c>
    </row>
    <row r="12" spans="1:39" x14ac:dyDescent="0.3">
      <c r="A12">
        <v>6312969072</v>
      </c>
      <c r="B12" t="s">
        <v>36</v>
      </c>
      <c r="C12" t="s">
        <v>37</v>
      </c>
      <c r="D12">
        <v>63</v>
      </c>
      <c r="E12">
        <v>129</v>
      </c>
      <c r="F12">
        <v>6907</v>
      </c>
      <c r="G12">
        <v>2</v>
      </c>
      <c r="H12" t="s">
        <v>44</v>
      </c>
      <c r="I12">
        <v>4326</v>
      </c>
      <c r="J12">
        <v>1.01209696543176</v>
      </c>
      <c r="K12" t="s">
        <v>39</v>
      </c>
      <c r="L12">
        <v>106404354</v>
      </c>
      <c r="M12" s="1">
        <v>45014</v>
      </c>
      <c r="N12" s="1">
        <v>45035</v>
      </c>
      <c r="O12" s="1">
        <v>45062</v>
      </c>
      <c r="P12" t="s">
        <v>40</v>
      </c>
      <c r="Q12">
        <v>231687</v>
      </c>
      <c r="R12">
        <v>6312969072</v>
      </c>
      <c r="S12">
        <v>1.1000000000000001</v>
      </c>
      <c r="T12">
        <v>30</v>
      </c>
      <c r="U12">
        <v>0</v>
      </c>
      <c r="V12" t="s">
        <v>41</v>
      </c>
      <c r="W12" t="s">
        <v>42</v>
      </c>
      <c r="X12">
        <v>2.9</v>
      </c>
      <c r="Y12">
        <v>0.28000000000000003</v>
      </c>
      <c r="Z12">
        <v>10</v>
      </c>
      <c r="AA12">
        <v>4.9000000000000004</v>
      </c>
      <c r="AB12">
        <v>2.9</v>
      </c>
      <c r="AD12">
        <v>95.7</v>
      </c>
      <c r="AE12">
        <v>96</v>
      </c>
      <c r="AF12">
        <v>103</v>
      </c>
      <c r="AG12">
        <v>7922.4857963081704</v>
      </c>
      <c r="AH12">
        <v>76.917337828234693</v>
      </c>
      <c r="AI12">
        <v>19.324758088375098</v>
      </c>
      <c r="AJ12">
        <v>-1.8708727616763601</v>
      </c>
      <c r="AK12">
        <v>121.431162461649</v>
      </c>
      <c r="AL12">
        <f t="shared" si="0"/>
        <v>0.19626606240089142</v>
      </c>
      <c r="AM12">
        <v>0.10088891223410658</v>
      </c>
    </row>
    <row r="13" spans="1:39" x14ac:dyDescent="0.3">
      <c r="A13">
        <v>6312969073</v>
      </c>
      <c r="B13" t="s">
        <v>36</v>
      </c>
      <c r="C13" t="s">
        <v>37</v>
      </c>
      <c r="D13">
        <v>63</v>
      </c>
      <c r="E13">
        <v>129</v>
      </c>
      <c r="F13">
        <v>6907</v>
      </c>
      <c r="G13">
        <v>3</v>
      </c>
      <c r="H13" t="s">
        <v>44</v>
      </c>
      <c r="I13">
        <v>4326</v>
      </c>
      <c r="J13">
        <v>1.00763938743254</v>
      </c>
      <c r="K13" t="s">
        <v>39</v>
      </c>
      <c r="L13">
        <v>106404354</v>
      </c>
      <c r="M13" s="1">
        <v>45014</v>
      </c>
      <c r="N13" s="1">
        <v>45035</v>
      </c>
      <c r="O13" s="1">
        <v>45062</v>
      </c>
      <c r="P13" t="s">
        <v>40</v>
      </c>
      <c r="Q13">
        <v>231688</v>
      </c>
      <c r="R13">
        <v>6312969073</v>
      </c>
      <c r="S13">
        <v>1.1299999999999999</v>
      </c>
      <c r="T13">
        <v>30</v>
      </c>
      <c r="U13">
        <v>0</v>
      </c>
      <c r="V13" t="s">
        <v>41</v>
      </c>
      <c r="W13" t="s">
        <v>42</v>
      </c>
      <c r="X13">
        <v>2.4</v>
      </c>
      <c r="Y13">
        <v>0.24</v>
      </c>
      <c r="Z13">
        <v>10</v>
      </c>
      <c r="AA13">
        <v>4.0999999999999996</v>
      </c>
      <c r="AB13">
        <v>2.4</v>
      </c>
      <c r="AD13">
        <v>81.3599999999999</v>
      </c>
      <c r="AE13">
        <v>81</v>
      </c>
      <c r="AF13">
        <v>101</v>
      </c>
      <c r="AG13">
        <v>7065.3926187562502</v>
      </c>
      <c r="AH13">
        <v>69.954382363923301</v>
      </c>
      <c r="AI13">
        <v>11.725743377505401</v>
      </c>
      <c r="AJ13">
        <v>37.1220149429627</v>
      </c>
      <c r="AK13">
        <v>98.816849426817299</v>
      </c>
      <c r="AL13">
        <f t="shared" si="0"/>
        <v>0.14018704075807045</v>
      </c>
      <c r="AM13">
        <v>0.10088891223410658</v>
      </c>
    </row>
    <row r="14" spans="1:39" x14ac:dyDescent="0.3">
      <c r="A14">
        <v>6312969074</v>
      </c>
      <c r="B14" t="s">
        <v>36</v>
      </c>
      <c r="C14" t="s">
        <v>37</v>
      </c>
      <c r="D14">
        <v>63</v>
      </c>
      <c r="E14">
        <v>129</v>
      </c>
      <c r="F14">
        <v>6907</v>
      </c>
      <c r="G14">
        <v>4</v>
      </c>
      <c r="H14" t="s">
        <v>44</v>
      </c>
      <c r="I14">
        <v>4326</v>
      </c>
      <c r="J14">
        <v>1.0103173691027501</v>
      </c>
      <c r="K14" t="s">
        <v>39</v>
      </c>
      <c r="L14">
        <v>106404354</v>
      </c>
      <c r="M14" s="1">
        <v>45014</v>
      </c>
      <c r="N14" s="1">
        <v>45035</v>
      </c>
      <c r="O14" s="1">
        <v>45062</v>
      </c>
      <c r="P14" t="s">
        <v>40</v>
      </c>
      <c r="Q14">
        <v>231689</v>
      </c>
      <c r="R14">
        <v>6312969074</v>
      </c>
      <c r="S14">
        <v>1.1000000000000001</v>
      </c>
      <c r="T14">
        <v>30</v>
      </c>
      <c r="U14">
        <v>0</v>
      </c>
      <c r="V14" t="s">
        <v>41</v>
      </c>
      <c r="W14" t="s">
        <v>42</v>
      </c>
      <c r="X14">
        <v>2.5</v>
      </c>
      <c r="Y14">
        <v>0.24</v>
      </c>
      <c r="Z14">
        <v>10</v>
      </c>
      <c r="AA14">
        <v>4.3</v>
      </c>
      <c r="AB14">
        <v>2.5</v>
      </c>
      <c r="AD14">
        <v>82.5</v>
      </c>
      <c r="AE14">
        <v>83</v>
      </c>
      <c r="AF14">
        <v>100</v>
      </c>
      <c r="AG14">
        <v>7637.4464124740898</v>
      </c>
      <c r="AH14">
        <v>76.374464124740896</v>
      </c>
      <c r="AI14">
        <v>13.8770044922941</v>
      </c>
      <c r="AJ14">
        <v>9.8188117784528401</v>
      </c>
      <c r="AK14">
        <v>112.63329676316501</v>
      </c>
      <c r="AL14">
        <f t="shared" si="0"/>
        <v>7.4248919700110341E-2</v>
      </c>
      <c r="AM14">
        <v>0.10088891223410658</v>
      </c>
    </row>
    <row r="15" spans="1:39" x14ac:dyDescent="0.3">
      <c r="A15">
        <v>6312969075</v>
      </c>
      <c r="B15" t="s">
        <v>36</v>
      </c>
      <c r="C15" t="s">
        <v>37</v>
      </c>
      <c r="D15">
        <v>63</v>
      </c>
      <c r="E15">
        <v>129</v>
      </c>
      <c r="F15">
        <v>6907</v>
      </c>
      <c r="G15">
        <v>5</v>
      </c>
      <c r="H15" t="s">
        <v>44</v>
      </c>
      <c r="I15">
        <v>4326</v>
      </c>
      <c r="J15">
        <v>0.99899383769068195</v>
      </c>
      <c r="K15" t="s">
        <v>39</v>
      </c>
      <c r="L15">
        <v>106404354</v>
      </c>
      <c r="M15" s="1">
        <v>45014</v>
      </c>
      <c r="N15" s="1">
        <v>45035</v>
      </c>
      <c r="O15" s="1">
        <v>45062</v>
      </c>
      <c r="P15" t="s">
        <v>40</v>
      </c>
      <c r="Q15">
        <v>231690</v>
      </c>
      <c r="R15">
        <v>6312969075</v>
      </c>
      <c r="S15">
        <v>1.1200000000000001</v>
      </c>
      <c r="T15">
        <v>30</v>
      </c>
      <c r="U15">
        <v>0</v>
      </c>
      <c r="V15" t="s">
        <v>41</v>
      </c>
      <c r="W15" t="s">
        <v>42</v>
      </c>
      <c r="X15">
        <v>2.4</v>
      </c>
      <c r="Y15">
        <v>0.24</v>
      </c>
      <c r="Z15">
        <v>10</v>
      </c>
      <c r="AA15">
        <v>4.2</v>
      </c>
      <c r="AB15">
        <v>2.4</v>
      </c>
      <c r="AD15">
        <v>80.64</v>
      </c>
      <c r="AE15">
        <v>81</v>
      </c>
      <c r="AF15">
        <v>107</v>
      </c>
      <c r="AG15">
        <v>7671.95466979101</v>
      </c>
      <c r="AH15">
        <v>71.700510932626202</v>
      </c>
      <c r="AI15">
        <v>18.976638672763499</v>
      </c>
      <c r="AJ15">
        <v>27.598858101077798</v>
      </c>
      <c r="AK15">
        <v>151.58224307708301</v>
      </c>
      <c r="AL15">
        <f t="shared" si="0"/>
        <v>0.11085675926802827</v>
      </c>
      <c r="AM15">
        <v>0.10088891223410658</v>
      </c>
    </row>
    <row r="16" spans="1:39" x14ac:dyDescent="0.3">
      <c r="A16">
        <v>6312969076</v>
      </c>
      <c r="B16" t="s">
        <v>36</v>
      </c>
      <c r="C16" t="s">
        <v>37</v>
      </c>
      <c r="D16">
        <v>63</v>
      </c>
      <c r="E16">
        <v>129</v>
      </c>
      <c r="F16">
        <v>6907</v>
      </c>
      <c r="G16">
        <v>6</v>
      </c>
      <c r="H16" t="s">
        <v>44</v>
      </c>
      <c r="I16">
        <v>4326</v>
      </c>
      <c r="J16">
        <v>1.0117460864337999</v>
      </c>
      <c r="K16" t="s">
        <v>39</v>
      </c>
      <c r="L16">
        <v>106404354</v>
      </c>
      <c r="M16" s="1">
        <v>45014</v>
      </c>
      <c r="N16" s="1">
        <v>45035</v>
      </c>
      <c r="O16" s="1">
        <v>45062</v>
      </c>
      <c r="P16" t="s">
        <v>40</v>
      </c>
      <c r="Q16">
        <v>231691</v>
      </c>
      <c r="R16">
        <v>6312969076</v>
      </c>
      <c r="S16">
        <v>1.1000000000000001</v>
      </c>
      <c r="T16">
        <v>30</v>
      </c>
      <c r="U16">
        <v>0</v>
      </c>
      <c r="V16" t="s">
        <v>41</v>
      </c>
      <c r="W16" t="s">
        <v>42</v>
      </c>
      <c r="X16">
        <v>2.1</v>
      </c>
      <c r="Y16">
        <v>0.21</v>
      </c>
      <c r="Z16">
        <v>10</v>
      </c>
      <c r="AA16">
        <v>3.7</v>
      </c>
      <c r="AB16">
        <v>2.1</v>
      </c>
      <c r="AD16">
        <v>69.299999999999898</v>
      </c>
      <c r="AE16">
        <v>69</v>
      </c>
      <c r="AF16">
        <v>102</v>
      </c>
      <c r="AG16">
        <v>6010.4040997121701</v>
      </c>
      <c r="AH16">
        <v>58.925530389335002</v>
      </c>
      <c r="AI16">
        <v>14.1610865198575</v>
      </c>
      <c r="AJ16">
        <v>31.372733677865501</v>
      </c>
      <c r="AK16">
        <v>105.696975661876</v>
      </c>
      <c r="AL16">
        <f t="shared" si="0"/>
        <v>0.14970374618564086</v>
      </c>
      <c r="AM16">
        <v>0.10088891223410658</v>
      </c>
    </row>
    <row r="17" spans="1:39" x14ac:dyDescent="0.3">
      <c r="A17">
        <v>6312969077</v>
      </c>
      <c r="B17" t="s">
        <v>36</v>
      </c>
      <c r="C17" t="s">
        <v>37</v>
      </c>
      <c r="D17">
        <v>63</v>
      </c>
      <c r="E17">
        <v>129</v>
      </c>
      <c r="F17">
        <v>6907</v>
      </c>
      <c r="G17">
        <v>7</v>
      </c>
      <c r="H17" t="s">
        <v>44</v>
      </c>
      <c r="I17">
        <v>4326</v>
      </c>
      <c r="J17">
        <v>1.00262583016689</v>
      </c>
      <c r="K17" t="s">
        <v>39</v>
      </c>
      <c r="L17">
        <v>106404354</v>
      </c>
      <c r="M17" s="1">
        <v>45014</v>
      </c>
      <c r="N17" s="1">
        <v>45035</v>
      </c>
      <c r="O17" s="1">
        <v>45062</v>
      </c>
      <c r="P17" t="s">
        <v>40</v>
      </c>
      <c r="Q17">
        <v>231692</v>
      </c>
      <c r="R17">
        <v>6312969077</v>
      </c>
      <c r="S17">
        <v>1.1599999999999999</v>
      </c>
      <c r="T17">
        <v>30</v>
      </c>
      <c r="U17">
        <v>0</v>
      </c>
      <c r="V17" t="s">
        <v>41</v>
      </c>
      <c r="W17" t="s">
        <v>42</v>
      </c>
      <c r="X17">
        <v>1.8</v>
      </c>
      <c r="Y17">
        <v>0.17</v>
      </c>
      <c r="Z17">
        <v>11</v>
      </c>
      <c r="AA17">
        <v>3.2</v>
      </c>
      <c r="AB17">
        <v>1.8</v>
      </c>
      <c r="AD17">
        <v>62.64</v>
      </c>
      <c r="AE17">
        <v>63</v>
      </c>
      <c r="AF17">
        <v>101</v>
      </c>
      <c r="AG17">
        <v>6145.0865008135697</v>
      </c>
      <c r="AH17">
        <v>60.8424406021146</v>
      </c>
      <c r="AI17">
        <v>13.4705461792473</v>
      </c>
      <c r="AJ17">
        <v>30.2809781662056</v>
      </c>
      <c r="AK17">
        <v>110.344711921382</v>
      </c>
      <c r="AL17">
        <f t="shared" si="0"/>
        <v>2.8696669825756718E-2</v>
      </c>
      <c r="AM17">
        <v>0.10088891223410658</v>
      </c>
    </row>
    <row r="18" spans="1:39" x14ac:dyDescent="0.3">
      <c r="A18">
        <v>6312969078</v>
      </c>
      <c r="B18" t="s">
        <v>36</v>
      </c>
      <c r="C18" t="s">
        <v>37</v>
      </c>
      <c r="D18">
        <v>63</v>
      </c>
      <c r="E18">
        <v>129</v>
      </c>
      <c r="F18">
        <v>6907</v>
      </c>
      <c r="G18">
        <v>8</v>
      </c>
      <c r="H18" t="s">
        <v>44</v>
      </c>
      <c r="I18">
        <v>4326</v>
      </c>
      <c r="J18">
        <v>1.0112128403824201</v>
      </c>
      <c r="K18" t="s">
        <v>39</v>
      </c>
      <c r="L18">
        <v>106404354</v>
      </c>
      <c r="M18" s="1">
        <v>45014</v>
      </c>
      <c r="N18" s="1">
        <v>45035</v>
      </c>
      <c r="O18" s="1">
        <v>45062</v>
      </c>
      <c r="P18" t="s">
        <v>40</v>
      </c>
      <c r="Q18">
        <v>231693</v>
      </c>
      <c r="R18">
        <v>6312969078</v>
      </c>
      <c r="S18">
        <v>1.1499999999999999</v>
      </c>
      <c r="T18">
        <v>30</v>
      </c>
      <c r="U18">
        <v>0</v>
      </c>
      <c r="V18" t="s">
        <v>41</v>
      </c>
      <c r="W18" t="s">
        <v>42</v>
      </c>
      <c r="X18">
        <v>2</v>
      </c>
      <c r="Y18">
        <v>0.2</v>
      </c>
      <c r="Z18">
        <v>10</v>
      </c>
      <c r="AA18">
        <v>3.5</v>
      </c>
      <c r="AB18">
        <v>2</v>
      </c>
      <c r="AD18">
        <v>69</v>
      </c>
      <c r="AE18">
        <v>69</v>
      </c>
      <c r="AF18">
        <v>108</v>
      </c>
      <c r="AG18">
        <v>6361.0012861708501</v>
      </c>
      <c r="AH18">
        <v>58.898160057137503</v>
      </c>
      <c r="AI18">
        <v>15.299662943412599</v>
      </c>
      <c r="AJ18">
        <v>23.792800406453999</v>
      </c>
      <c r="AK18">
        <v>114.164731493875</v>
      </c>
      <c r="AL18">
        <f t="shared" si="0"/>
        <v>0.14640347743278981</v>
      </c>
      <c r="AM18">
        <v>0.10088891223410658</v>
      </c>
    </row>
    <row r="19" spans="1:39" x14ac:dyDescent="0.3">
      <c r="A19">
        <v>6312969079</v>
      </c>
      <c r="B19" t="s">
        <v>36</v>
      </c>
      <c r="C19" t="s">
        <v>37</v>
      </c>
      <c r="D19">
        <v>63</v>
      </c>
      <c r="E19">
        <v>129</v>
      </c>
      <c r="F19">
        <v>6907</v>
      </c>
      <c r="G19">
        <v>9</v>
      </c>
      <c r="H19" t="s">
        <v>44</v>
      </c>
      <c r="I19">
        <v>4326</v>
      </c>
      <c r="J19">
        <v>1.03045765295252</v>
      </c>
      <c r="K19" t="s">
        <v>39</v>
      </c>
      <c r="L19">
        <v>106404354</v>
      </c>
      <c r="M19" s="1">
        <v>45014</v>
      </c>
      <c r="N19" s="1">
        <v>45035</v>
      </c>
      <c r="O19" s="1">
        <v>45062</v>
      </c>
      <c r="P19" t="s">
        <v>40</v>
      </c>
      <c r="Q19">
        <v>231694</v>
      </c>
      <c r="R19">
        <v>6312969079</v>
      </c>
      <c r="S19">
        <v>1.1599999999999999</v>
      </c>
      <c r="T19">
        <v>30</v>
      </c>
      <c r="U19">
        <v>0</v>
      </c>
      <c r="V19" t="s">
        <v>41</v>
      </c>
      <c r="W19" t="s">
        <v>42</v>
      </c>
      <c r="X19">
        <v>1.7</v>
      </c>
      <c r="Y19">
        <v>0.15</v>
      </c>
      <c r="Z19">
        <v>11</v>
      </c>
      <c r="AA19">
        <v>2.9</v>
      </c>
      <c r="AB19">
        <v>1.7</v>
      </c>
      <c r="AD19">
        <v>59.159999999999897</v>
      </c>
      <c r="AE19">
        <v>59</v>
      </c>
      <c r="AF19">
        <v>110</v>
      </c>
      <c r="AG19">
        <v>6442.68257674092</v>
      </c>
      <c r="AH19">
        <v>58.569841606735601</v>
      </c>
      <c r="AI19">
        <v>11.2606768521348</v>
      </c>
      <c r="AJ19">
        <v>30.636921919870002</v>
      </c>
      <c r="AK19">
        <v>86.619604598783695</v>
      </c>
      <c r="AL19">
        <f t="shared" si="0"/>
        <v>9.9756320700523579E-3</v>
      </c>
      <c r="AM19">
        <v>0.10088891223410658</v>
      </c>
    </row>
    <row r="20" spans="1:39" x14ac:dyDescent="0.3">
      <c r="A20">
        <v>63129690711</v>
      </c>
      <c r="B20" t="s">
        <v>36</v>
      </c>
      <c r="C20" t="s">
        <v>37</v>
      </c>
      <c r="D20">
        <v>63</v>
      </c>
      <c r="E20">
        <v>129</v>
      </c>
      <c r="F20">
        <v>6907</v>
      </c>
      <c r="G20">
        <v>11</v>
      </c>
      <c r="H20" t="s">
        <v>44</v>
      </c>
      <c r="I20">
        <v>4326</v>
      </c>
      <c r="J20">
        <v>1.00925162591684</v>
      </c>
      <c r="K20" t="s">
        <v>39</v>
      </c>
      <c r="L20">
        <v>106404354</v>
      </c>
      <c r="M20" s="1">
        <v>45014</v>
      </c>
      <c r="N20" s="1">
        <v>45035</v>
      </c>
      <c r="O20" s="1">
        <v>45062</v>
      </c>
      <c r="P20" t="s">
        <v>40</v>
      </c>
      <c r="Q20">
        <v>231696</v>
      </c>
      <c r="R20">
        <v>63129690711</v>
      </c>
      <c r="S20">
        <v>1.1499999999999999</v>
      </c>
      <c r="T20">
        <v>30</v>
      </c>
      <c r="U20">
        <v>0</v>
      </c>
      <c r="V20" t="s">
        <v>41</v>
      </c>
      <c r="W20" t="s">
        <v>42</v>
      </c>
      <c r="X20">
        <v>1.7</v>
      </c>
      <c r="Y20">
        <v>0.15</v>
      </c>
      <c r="Z20">
        <v>11</v>
      </c>
      <c r="AA20">
        <v>2.9</v>
      </c>
      <c r="AB20">
        <v>1.7</v>
      </c>
      <c r="AD20">
        <v>58.649999999999899</v>
      </c>
      <c r="AE20">
        <v>59</v>
      </c>
      <c r="AF20">
        <v>97</v>
      </c>
      <c r="AG20">
        <v>5525.3485692428803</v>
      </c>
      <c r="AH20">
        <v>56.962356383947203</v>
      </c>
      <c r="AI20">
        <v>13.5269136092223</v>
      </c>
      <c r="AJ20">
        <v>-1.47150902684054</v>
      </c>
      <c r="AK20">
        <v>91.296547861450193</v>
      </c>
      <c r="AL20">
        <f t="shared" si="0"/>
        <v>2.8774827213174755E-2</v>
      </c>
      <c r="AM20">
        <v>0.10088891223410658</v>
      </c>
    </row>
    <row r="21" spans="1:39" x14ac:dyDescent="0.3">
      <c r="A21">
        <v>63129690712</v>
      </c>
      <c r="B21" t="s">
        <v>36</v>
      </c>
      <c r="C21" t="s">
        <v>37</v>
      </c>
      <c r="D21">
        <v>63</v>
      </c>
      <c r="E21">
        <v>129</v>
      </c>
      <c r="F21">
        <v>6907</v>
      </c>
      <c r="G21">
        <v>12</v>
      </c>
      <c r="H21" t="s">
        <v>44</v>
      </c>
      <c r="I21">
        <v>4326</v>
      </c>
      <c r="J21">
        <v>1.0304576923415001</v>
      </c>
      <c r="K21" t="s">
        <v>39</v>
      </c>
      <c r="L21">
        <v>106404354</v>
      </c>
      <c r="M21" s="1">
        <v>45014</v>
      </c>
      <c r="N21" s="1">
        <v>45035</v>
      </c>
      <c r="O21" s="1">
        <v>45062</v>
      </c>
      <c r="P21" t="s">
        <v>40</v>
      </c>
      <c r="Q21">
        <v>231697</v>
      </c>
      <c r="R21">
        <v>63129690712</v>
      </c>
      <c r="S21">
        <v>1.21</v>
      </c>
      <c r="T21">
        <v>30</v>
      </c>
      <c r="U21">
        <v>0</v>
      </c>
      <c r="V21" t="s">
        <v>41</v>
      </c>
      <c r="W21" t="s">
        <v>42</v>
      </c>
      <c r="X21">
        <v>1</v>
      </c>
      <c r="Y21">
        <v>0.1</v>
      </c>
      <c r="Z21">
        <v>10</v>
      </c>
      <c r="AA21">
        <v>1.7</v>
      </c>
      <c r="AB21">
        <v>1</v>
      </c>
      <c r="AD21">
        <v>36.299999999999898</v>
      </c>
      <c r="AE21">
        <v>36</v>
      </c>
      <c r="AF21">
        <v>100</v>
      </c>
      <c r="AG21">
        <v>4007.8239439581798</v>
      </c>
      <c r="AH21">
        <v>40.0782394395818</v>
      </c>
      <c r="AI21">
        <v>11.717582542564401</v>
      </c>
      <c r="AJ21">
        <v>16.393884791028199</v>
      </c>
      <c r="AK21">
        <v>82.469670259065893</v>
      </c>
      <c r="AL21">
        <f t="shared" si="0"/>
        <v>0.10408373111795904</v>
      </c>
      <c r="AM21">
        <v>0.10088891223410658</v>
      </c>
    </row>
    <row r="22" spans="1:39" x14ac:dyDescent="0.3">
      <c r="A22">
        <v>63129690714</v>
      </c>
      <c r="B22" t="s">
        <v>36</v>
      </c>
      <c r="C22" t="s">
        <v>37</v>
      </c>
      <c r="D22">
        <v>63</v>
      </c>
      <c r="E22">
        <v>129</v>
      </c>
      <c r="F22">
        <v>6907</v>
      </c>
      <c r="G22">
        <v>14</v>
      </c>
      <c r="H22" t="s">
        <v>44</v>
      </c>
      <c r="I22">
        <v>4326</v>
      </c>
      <c r="J22">
        <v>0.97280111297402505</v>
      </c>
      <c r="K22" t="s">
        <v>39</v>
      </c>
      <c r="L22">
        <v>106404354</v>
      </c>
      <c r="M22" s="1">
        <v>45014</v>
      </c>
      <c r="N22" s="1">
        <v>45035</v>
      </c>
      <c r="O22" s="1">
        <v>45062</v>
      </c>
      <c r="P22" t="s">
        <v>40</v>
      </c>
      <c r="Q22">
        <v>231699</v>
      </c>
      <c r="R22">
        <v>63129690714</v>
      </c>
      <c r="S22">
        <v>1.19</v>
      </c>
      <c r="T22">
        <v>30</v>
      </c>
      <c r="U22">
        <v>0</v>
      </c>
      <c r="V22" t="s">
        <v>41</v>
      </c>
      <c r="W22" t="s">
        <v>42</v>
      </c>
      <c r="X22">
        <v>1.5</v>
      </c>
      <c r="Y22">
        <v>0.18</v>
      </c>
      <c r="Z22">
        <v>8</v>
      </c>
      <c r="AA22">
        <v>2.6</v>
      </c>
      <c r="AB22">
        <v>1.5</v>
      </c>
      <c r="AD22">
        <v>53.549999999999898</v>
      </c>
      <c r="AE22">
        <v>54</v>
      </c>
      <c r="AF22">
        <v>96</v>
      </c>
      <c r="AG22">
        <v>5331.4140815317396</v>
      </c>
      <c r="AH22">
        <v>55.5355633492889</v>
      </c>
      <c r="AI22">
        <v>11.9972828713762</v>
      </c>
      <c r="AJ22">
        <v>28.1220864081223</v>
      </c>
      <c r="AK22">
        <v>99.855405275773705</v>
      </c>
      <c r="AL22">
        <f t="shared" si="0"/>
        <v>3.7078680658991704E-2</v>
      </c>
      <c r="AM22">
        <v>0.10088891223410658</v>
      </c>
    </row>
    <row r="23" spans="1:39" x14ac:dyDescent="0.3">
      <c r="A23">
        <v>6312938664</v>
      </c>
      <c r="B23" t="s">
        <v>36</v>
      </c>
      <c r="C23" t="s">
        <v>37</v>
      </c>
      <c r="D23">
        <v>63</v>
      </c>
      <c r="E23">
        <v>129</v>
      </c>
      <c r="F23">
        <v>3866</v>
      </c>
      <c r="G23">
        <v>4</v>
      </c>
      <c r="H23" t="s">
        <v>43</v>
      </c>
      <c r="I23">
        <v>4326</v>
      </c>
      <c r="J23">
        <v>1.0173068424785801</v>
      </c>
      <c r="K23" t="s">
        <v>39</v>
      </c>
      <c r="L23">
        <v>106404354</v>
      </c>
      <c r="M23" s="1">
        <v>45014</v>
      </c>
      <c r="N23" s="1">
        <v>45035</v>
      </c>
      <c r="O23" s="1">
        <v>45062</v>
      </c>
      <c r="P23" t="s">
        <v>40</v>
      </c>
      <c r="Q23">
        <v>231677</v>
      </c>
      <c r="R23">
        <v>6312938664</v>
      </c>
      <c r="S23">
        <v>1.18</v>
      </c>
      <c r="T23">
        <v>30</v>
      </c>
      <c r="U23">
        <v>0</v>
      </c>
      <c r="V23" t="s">
        <v>41</v>
      </c>
      <c r="W23" t="s">
        <v>42</v>
      </c>
      <c r="X23">
        <v>1.8</v>
      </c>
      <c r="Y23">
        <v>0.17</v>
      </c>
      <c r="Z23">
        <v>11</v>
      </c>
      <c r="AA23">
        <v>3.1</v>
      </c>
      <c r="AB23">
        <v>1.8</v>
      </c>
      <c r="AD23">
        <v>63.719999999999899</v>
      </c>
      <c r="AE23">
        <v>64</v>
      </c>
      <c r="AF23">
        <v>108</v>
      </c>
      <c r="AG23">
        <v>5751.7297985998503</v>
      </c>
      <c r="AH23">
        <v>53.256757394442999</v>
      </c>
      <c r="AI23">
        <v>11.3126153656894</v>
      </c>
      <c r="AJ23">
        <v>21.3627198150946</v>
      </c>
      <c r="AK23">
        <v>88.985823067774007</v>
      </c>
      <c r="AL23">
        <f t="shared" si="0"/>
        <v>0.16420656945318451</v>
      </c>
      <c r="AM23">
        <v>0.10088891223410658</v>
      </c>
    </row>
    <row r="24" spans="1:39" x14ac:dyDescent="0.3">
      <c r="A24">
        <v>63129690710</v>
      </c>
      <c r="B24" t="s">
        <v>36</v>
      </c>
      <c r="C24" t="s">
        <v>37</v>
      </c>
      <c r="D24">
        <v>63</v>
      </c>
      <c r="E24">
        <v>129</v>
      </c>
      <c r="F24">
        <v>6907</v>
      </c>
      <c r="G24">
        <v>10</v>
      </c>
      <c r="H24" t="s">
        <v>44</v>
      </c>
      <c r="I24">
        <v>4326</v>
      </c>
      <c r="J24">
        <v>1.00007765792767</v>
      </c>
      <c r="K24" t="s">
        <v>39</v>
      </c>
      <c r="L24">
        <v>106404354</v>
      </c>
      <c r="M24" s="1">
        <v>45014</v>
      </c>
      <c r="N24" s="1">
        <v>45035</v>
      </c>
      <c r="O24" s="1">
        <v>45062</v>
      </c>
      <c r="P24" t="s">
        <v>40</v>
      </c>
      <c r="Q24">
        <v>231695</v>
      </c>
      <c r="R24">
        <v>63129690710</v>
      </c>
      <c r="S24">
        <v>1.1399999999999999</v>
      </c>
      <c r="T24">
        <v>30</v>
      </c>
      <c r="U24">
        <v>0</v>
      </c>
      <c r="V24" t="s">
        <v>41</v>
      </c>
      <c r="W24" t="s">
        <v>42</v>
      </c>
      <c r="X24">
        <v>1.7</v>
      </c>
      <c r="Y24">
        <v>0.16</v>
      </c>
      <c r="Z24">
        <v>11</v>
      </c>
      <c r="AA24">
        <v>2.9</v>
      </c>
      <c r="AB24">
        <v>1.7</v>
      </c>
      <c r="AD24">
        <v>58.14</v>
      </c>
      <c r="AE24">
        <v>58</v>
      </c>
      <c r="AF24">
        <v>103</v>
      </c>
      <c r="AG24">
        <v>6557.6783529753102</v>
      </c>
      <c r="AH24">
        <v>63.666780125973901</v>
      </c>
      <c r="AI24">
        <v>17.597109871032298</v>
      </c>
      <c r="AJ24">
        <v>22.8369318446112</v>
      </c>
      <c r="AK24">
        <v>142.66499471059501</v>
      </c>
      <c r="AL24">
        <f t="shared" si="0"/>
        <v>9.5059857687889576E-2</v>
      </c>
      <c r="AM24">
        <v>0.10088891223410658</v>
      </c>
    </row>
    <row r="25" spans="1:39" x14ac:dyDescent="0.3">
      <c r="A25">
        <v>63129690713</v>
      </c>
      <c r="B25" t="s">
        <v>36</v>
      </c>
      <c r="C25" t="s">
        <v>37</v>
      </c>
      <c r="D25">
        <v>63</v>
      </c>
      <c r="E25">
        <v>129</v>
      </c>
      <c r="F25">
        <v>6907</v>
      </c>
      <c r="G25">
        <v>13</v>
      </c>
      <c r="H25" t="s">
        <v>44</v>
      </c>
      <c r="I25">
        <v>4326</v>
      </c>
      <c r="J25">
        <v>1.00102231859145</v>
      </c>
      <c r="K25" t="s">
        <v>39</v>
      </c>
      <c r="L25">
        <v>106404354</v>
      </c>
      <c r="M25" s="1">
        <v>45014</v>
      </c>
      <c r="N25" s="1">
        <v>45035</v>
      </c>
      <c r="O25" s="1">
        <v>45062</v>
      </c>
      <c r="P25" t="s">
        <v>40</v>
      </c>
      <c r="Q25">
        <v>231698</v>
      </c>
      <c r="R25">
        <v>63129690713</v>
      </c>
      <c r="S25">
        <v>1.18</v>
      </c>
      <c r="T25">
        <v>30</v>
      </c>
      <c r="U25">
        <v>0</v>
      </c>
      <c r="V25" t="s">
        <v>41</v>
      </c>
      <c r="W25" t="s">
        <v>42</v>
      </c>
      <c r="X25">
        <v>1.9</v>
      </c>
      <c r="Y25">
        <v>0.17</v>
      </c>
      <c r="Z25">
        <v>11</v>
      </c>
      <c r="AA25">
        <v>3.2</v>
      </c>
      <c r="AB25">
        <v>1.9</v>
      </c>
      <c r="AD25">
        <v>67.260000000000005</v>
      </c>
      <c r="AE25">
        <v>67</v>
      </c>
      <c r="AF25">
        <v>89</v>
      </c>
      <c r="AG25">
        <v>6443.0732604258501</v>
      </c>
      <c r="AH25">
        <v>72.394081577818596</v>
      </c>
      <c r="AI25">
        <v>14.6124646540248</v>
      </c>
      <c r="AJ25">
        <v>20.7478215051873</v>
      </c>
      <c r="AK25">
        <v>118.399169149144</v>
      </c>
      <c r="AL25">
        <f t="shared" si="0"/>
        <v>7.6331870024064691E-2</v>
      </c>
      <c r="AM25">
        <v>0.10088891223410658</v>
      </c>
    </row>
    <row r="26" spans="1:39" x14ac:dyDescent="0.3">
      <c r="A26">
        <v>6312924015</v>
      </c>
      <c r="B26" t="s">
        <v>36</v>
      </c>
      <c r="C26" t="s">
        <v>37</v>
      </c>
      <c r="D26">
        <v>63</v>
      </c>
      <c r="E26">
        <v>129</v>
      </c>
      <c r="F26">
        <v>2401</v>
      </c>
      <c r="G26">
        <v>5</v>
      </c>
      <c r="H26" t="s">
        <v>45</v>
      </c>
      <c r="I26">
        <v>4326</v>
      </c>
      <c r="J26">
        <v>0.96530742216620602</v>
      </c>
      <c r="K26" t="s">
        <v>46</v>
      </c>
      <c r="L26">
        <v>106404354</v>
      </c>
      <c r="M26" s="1">
        <v>45014</v>
      </c>
      <c r="N26" s="1">
        <v>45035</v>
      </c>
      <c r="O26" s="1">
        <v>45062</v>
      </c>
      <c r="P26" t="s">
        <v>40</v>
      </c>
      <c r="Q26">
        <v>231643</v>
      </c>
      <c r="R26">
        <v>6312924015</v>
      </c>
      <c r="S26">
        <v>1.2</v>
      </c>
      <c r="T26">
        <v>30</v>
      </c>
      <c r="U26">
        <v>0</v>
      </c>
      <c r="V26" t="s">
        <v>41</v>
      </c>
      <c r="W26" t="s">
        <v>42</v>
      </c>
      <c r="X26">
        <v>1.9</v>
      </c>
      <c r="Y26">
        <v>0.18</v>
      </c>
      <c r="Z26">
        <v>10</v>
      </c>
      <c r="AA26">
        <v>3.1</v>
      </c>
      <c r="AB26">
        <v>1.8</v>
      </c>
      <c r="AD26">
        <v>64.799999999999898</v>
      </c>
      <c r="AE26">
        <v>65</v>
      </c>
      <c r="AF26">
        <v>95</v>
      </c>
      <c r="AG26">
        <v>5845.5591823801096</v>
      </c>
      <c r="AH26">
        <v>61.532201919790701</v>
      </c>
      <c r="AI26">
        <v>6.2701368499421104</v>
      </c>
      <c r="AJ26">
        <v>48.499371796251999</v>
      </c>
      <c r="AK26">
        <v>75.742543163533995</v>
      </c>
      <c r="AL26">
        <f t="shared" si="0"/>
        <v>5.0428982719277808E-2</v>
      </c>
      <c r="AM26">
        <v>0.10088891223410658</v>
      </c>
    </row>
    <row r="27" spans="1:39" x14ac:dyDescent="0.3">
      <c r="A27">
        <v>6312924019</v>
      </c>
      <c r="B27" t="s">
        <v>36</v>
      </c>
      <c r="C27" t="s">
        <v>37</v>
      </c>
      <c r="D27">
        <v>63</v>
      </c>
      <c r="E27">
        <v>129</v>
      </c>
      <c r="F27">
        <v>2401</v>
      </c>
      <c r="G27">
        <v>9</v>
      </c>
      <c r="H27" t="s">
        <v>45</v>
      </c>
      <c r="I27">
        <v>4326</v>
      </c>
      <c r="J27">
        <v>1.00890094298496</v>
      </c>
      <c r="K27" t="s">
        <v>46</v>
      </c>
      <c r="L27">
        <v>106404354</v>
      </c>
      <c r="M27" s="1">
        <v>45014</v>
      </c>
      <c r="N27" s="1">
        <v>45035</v>
      </c>
      <c r="O27" s="1">
        <v>45062</v>
      </c>
      <c r="P27" t="s">
        <v>40</v>
      </c>
      <c r="Q27">
        <v>231647</v>
      </c>
      <c r="R27">
        <v>6312924019</v>
      </c>
      <c r="S27">
        <v>1.17</v>
      </c>
      <c r="T27">
        <v>30</v>
      </c>
      <c r="U27">
        <v>0</v>
      </c>
      <c r="V27" t="s">
        <v>41</v>
      </c>
      <c r="W27">
        <v>0.1</v>
      </c>
      <c r="X27">
        <v>1.6</v>
      </c>
      <c r="Y27">
        <v>0.14000000000000001</v>
      </c>
      <c r="Z27">
        <v>10</v>
      </c>
      <c r="AA27">
        <v>2.5</v>
      </c>
      <c r="AB27">
        <v>1.4</v>
      </c>
      <c r="AD27">
        <v>49.14</v>
      </c>
      <c r="AE27">
        <v>49</v>
      </c>
      <c r="AF27">
        <v>110</v>
      </c>
      <c r="AG27">
        <v>6295.2149704598596</v>
      </c>
      <c r="AH27">
        <v>57.229227004180601</v>
      </c>
      <c r="AI27">
        <v>3.6128845444976099</v>
      </c>
      <c r="AJ27">
        <v>50.929764384330198</v>
      </c>
      <c r="AK27">
        <v>66.076999603301999</v>
      </c>
      <c r="AL27">
        <f t="shared" si="0"/>
        <v>0.16461593415100936</v>
      </c>
      <c r="AM27">
        <v>0.10088891223410658</v>
      </c>
    </row>
    <row r="28" spans="1:39" x14ac:dyDescent="0.3">
      <c r="A28">
        <v>63129240110</v>
      </c>
      <c r="B28" t="s">
        <v>36</v>
      </c>
      <c r="C28" t="s">
        <v>37</v>
      </c>
      <c r="D28">
        <v>63</v>
      </c>
      <c r="E28">
        <v>129</v>
      </c>
      <c r="F28">
        <v>2401</v>
      </c>
      <c r="G28">
        <v>10</v>
      </c>
      <c r="H28" t="s">
        <v>45</v>
      </c>
      <c r="I28">
        <v>4326</v>
      </c>
      <c r="J28">
        <v>0.98725636025010399</v>
      </c>
      <c r="K28" t="s">
        <v>46</v>
      </c>
      <c r="L28">
        <v>106404354</v>
      </c>
      <c r="M28" s="1">
        <v>45014</v>
      </c>
      <c r="N28" s="1">
        <v>45035</v>
      </c>
      <c r="O28" s="1">
        <v>45062</v>
      </c>
      <c r="P28" t="s">
        <v>40</v>
      </c>
      <c r="Q28">
        <v>231648</v>
      </c>
      <c r="R28">
        <v>63129240110</v>
      </c>
      <c r="S28">
        <v>1.1599999999999999</v>
      </c>
      <c r="T28">
        <v>30</v>
      </c>
      <c r="U28">
        <v>0</v>
      </c>
      <c r="V28" t="s">
        <v>41</v>
      </c>
      <c r="W28" t="s">
        <v>42</v>
      </c>
      <c r="X28">
        <v>1.9</v>
      </c>
      <c r="Y28">
        <v>0.18</v>
      </c>
      <c r="Z28">
        <v>11</v>
      </c>
      <c r="AA28">
        <v>3.2</v>
      </c>
      <c r="AB28">
        <v>1.9</v>
      </c>
      <c r="AD28">
        <v>66.12</v>
      </c>
      <c r="AE28">
        <v>66</v>
      </c>
      <c r="AF28">
        <v>99</v>
      </c>
      <c r="AG28">
        <v>6130.7425580939898</v>
      </c>
      <c r="AH28">
        <v>61.926692505999902</v>
      </c>
      <c r="AI28">
        <v>5.0648196468036897</v>
      </c>
      <c r="AJ28">
        <v>50.5741666616494</v>
      </c>
      <c r="AK28">
        <v>77.676302958493096</v>
      </c>
      <c r="AL28">
        <f t="shared" si="0"/>
        <v>6.3419653569269541E-2</v>
      </c>
      <c r="AM28">
        <v>0.10088891223410658</v>
      </c>
    </row>
    <row r="29" spans="1:39" x14ac:dyDescent="0.3">
      <c r="A29">
        <v>63129240115</v>
      </c>
      <c r="B29" t="s">
        <v>36</v>
      </c>
      <c r="C29" t="s">
        <v>37</v>
      </c>
      <c r="D29">
        <v>63</v>
      </c>
      <c r="E29">
        <v>129</v>
      </c>
      <c r="F29">
        <v>2401</v>
      </c>
      <c r="G29">
        <v>15</v>
      </c>
      <c r="H29" t="s">
        <v>45</v>
      </c>
      <c r="I29">
        <v>4326</v>
      </c>
      <c r="J29">
        <v>0.98773450091850701</v>
      </c>
      <c r="K29" t="s">
        <v>46</v>
      </c>
      <c r="L29">
        <v>106404354</v>
      </c>
      <c r="M29" s="1">
        <v>45014</v>
      </c>
      <c r="N29" s="1">
        <v>45035</v>
      </c>
      <c r="O29" s="1">
        <v>45062</v>
      </c>
      <c r="P29" t="s">
        <v>40</v>
      </c>
      <c r="Q29">
        <v>231653</v>
      </c>
      <c r="R29">
        <v>63129240115</v>
      </c>
      <c r="S29">
        <v>1.2</v>
      </c>
      <c r="T29">
        <v>30</v>
      </c>
      <c r="U29">
        <v>0</v>
      </c>
      <c r="V29" t="s">
        <v>41</v>
      </c>
      <c r="W29" t="s">
        <v>42</v>
      </c>
      <c r="X29">
        <v>1.8</v>
      </c>
      <c r="Y29">
        <v>0.16</v>
      </c>
      <c r="Z29">
        <v>11</v>
      </c>
      <c r="AA29">
        <v>3</v>
      </c>
      <c r="AB29">
        <v>1.7</v>
      </c>
      <c r="AD29">
        <v>61.2</v>
      </c>
      <c r="AE29">
        <v>61</v>
      </c>
      <c r="AF29">
        <v>92</v>
      </c>
      <c r="AG29">
        <v>5643.0869791455898</v>
      </c>
      <c r="AH29">
        <v>61.337901947234698</v>
      </c>
      <c r="AI29">
        <v>4.2604985817319498</v>
      </c>
      <c r="AJ29">
        <v>51.350593799133399</v>
      </c>
      <c r="AK29">
        <v>68.750813395777399</v>
      </c>
      <c r="AL29">
        <f t="shared" si="0"/>
        <v>2.2532997914165914E-3</v>
      </c>
      <c r="AM29">
        <v>0.10088891223410658</v>
      </c>
    </row>
    <row r="30" spans="1:39" x14ac:dyDescent="0.3">
      <c r="A30">
        <v>63129240120</v>
      </c>
      <c r="B30" t="s">
        <v>36</v>
      </c>
      <c r="C30" t="s">
        <v>37</v>
      </c>
      <c r="D30">
        <v>63</v>
      </c>
      <c r="E30">
        <v>129</v>
      </c>
      <c r="F30">
        <v>2401</v>
      </c>
      <c r="G30">
        <v>20</v>
      </c>
      <c r="H30" t="s">
        <v>45</v>
      </c>
      <c r="I30">
        <v>4326</v>
      </c>
      <c r="J30">
        <v>0.98771139474473402</v>
      </c>
      <c r="K30" t="s">
        <v>46</v>
      </c>
      <c r="L30">
        <v>106404354</v>
      </c>
      <c r="M30" s="1">
        <v>45014</v>
      </c>
      <c r="N30" s="1">
        <v>45035</v>
      </c>
      <c r="O30" s="1">
        <v>45062</v>
      </c>
      <c r="P30" t="s">
        <v>40</v>
      </c>
      <c r="Q30">
        <v>231658</v>
      </c>
      <c r="R30">
        <v>63129240120</v>
      </c>
      <c r="S30">
        <v>1.21</v>
      </c>
      <c r="T30">
        <v>30</v>
      </c>
      <c r="U30">
        <v>0</v>
      </c>
      <c r="V30" t="s">
        <v>41</v>
      </c>
      <c r="W30" t="s">
        <v>42</v>
      </c>
      <c r="X30">
        <v>1.7</v>
      </c>
      <c r="Y30">
        <v>0.15</v>
      </c>
      <c r="Z30">
        <v>11</v>
      </c>
      <c r="AA30">
        <v>2.9</v>
      </c>
      <c r="AB30">
        <v>1.7</v>
      </c>
      <c r="AD30">
        <v>61.71</v>
      </c>
      <c r="AE30">
        <v>62</v>
      </c>
      <c r="AF30">
        <v>94</v>
      </c>
      <c r="AG30">
        <v>5830.7327863828496</v>
      </c>
      <c r="AH30">
        <v>62.0290721955622</v>
      </c>
      <c r="AI30">
        <v>5.1117588713819702</v>
      </c>
      <c r="AJ30">
        <v>48.810885837693398</v>
      </c>
      <c r="AK30">
        <v>75.853913895951806</v>
      </c>
      <c r="AL30">
        <f t="shared" si="0"/>
        <v>5.1705103802009329E-3</v>
      </c>
      <c r="AM30">
        <v>0.10088891223410658</v>
      </c>
    </row>
    <row r="31" spans="1:39" x14ac:dyDescent="0.3">
      <c r="A31">
        <v>63129240125</v>
      </c>
      <c r="B31" t="s">
        <v>36</v>
      </c>
      <c r="C31" t="s">
        <v>37</v>
      </c>
      <c r="D31">
        <v>63</v>
      </c>
      <c r="E31">
        <v>129</v>
      </c>
      <c r="F31">
        <v>2401</v>
      </c>
      <c r="G31">
        <v>25</v>
      </c>
      <c r="H31" t="s">
        <v>45</v>
      </c>
      <c r="I31">
        <v>4326</v>
      </c>
      <c r="J31">
        <v>0.989057234029731</v>
      </c>
      <c r="K31" t="s">
        <v>46</v>
      </c>
      <c r="L31">
        <v>106404354</v>
      </c>
      <c r="M31" s="1">
        <v>45014</v>
      </c>
      <c r="N31" s="1">
        <v>45035</v>
      </c>
      <c r="O31" s="1">
        <v>45062</v>
      </c>
      <c r="P31" t="s">
        <v>40</v>
      </c>
      <c r="Q31">
        <v>231663</v>
      </c>
      <c r="R31">
        <v>63129240125</v>
      </c>
      <c r="S31">
        <v>1.23</v>
      </c>
      <c r="T31">
        <v>30</v>
      </c>
      <c r="U31">
        <v>0</v>
      </c>
      <c r="V31" t="s">
        <v>41</v>
      </c>
      <c r="W31" t="s">
        <v>42</v>
      </c>
      <c r="X31">
        <v>1.2</v>
      </c>
      <c r="Y31">
        <v>0.19</v>
      </c>
      <c r="Z31">
        <v>6</v>
      </c>
      <c r="AA31">
        <v>2</v>
      </c>
      <c r="AB31">
        <v>1.2</v>
      </c>
      <c r="AD31">
        <v>44.28</v>
      </c>
      <c r="AE31">
        <v>44</v>
      </c>
      <c r="AF31">
        <v>103</v>
      </c>
      <c r="AG31">
        <v>5020.5765621107803</v>
      </c>
      <c r="AH31">
        <v>48.743461768065799</v>
      </c>
      <c r="AI31">
        <v>8.5335837402652608</v>
      </c>
      <c r="AJ31">
        <v>33.432658381231803</v>
      </c>
      <c r="AK31">
        <v>92.976992123926493</v>
      </c>
      <c r="AL31">
        <f t="shared" si="0"/>
        <v>0.10080085293734865</v>
      </c>
      <c r="AM31">
        <v>0.10088891223410658</v>
      </c>
    </row>
    <row r="32" spans="1:39" x14ac:dyDescent="0.3">
      <c r="A32">
        <v>63129240126</v>
      </c>
      <c r="B32" t="s">
        <v>36</v>
      </c>
      <c r="C32" t="s">
        <v>37</v>
      </c>
      <c r="D32">
        <v>63</v>
      </c>
      <c r="E32">
        <v>129</v>
      </c>
      <c r="F32">
        <v>2401</v>
      </c>
      <c r="G32">
        <v>26</v>
      </c>
      <c r="H32" t="s">
        <v>45</v>
      </c>
      <c r="I32">
        <v>4326</v>
      </c>
      <c r="J32">
        <v>0.97938865479260595</v>
      </c>
      <c r="K32" t="s">
        <v>46</v>
      </c>
      <c r="L32">
        <v>106404354</v>
      </c>
      <c r="M32" s="1">
        <v>45014</v>
      </c>
      <c r="N32" s="1">
        <v>45035</v>
      </c>
      <c r="O32" s="1">
        <v>45062</v>
      </c>
      <c r="P32" t="s">
        <v>40</v>
      </c>
      <c r="Q32">
        <v>231664</v>
      </c>
      <c r="R32">
        <v>63129240126</v>
      </c>
      <c r="S32">
        <v>1.1499999999999999</v>
      </c>
      <c r="T32">
        <v>30</v>
      </c>
      <c r="U32">
        <v>0</v>
      </c>
      <c r="V32" t="s">
        <v>41</v>
      </c>
      <c r="W32" t="s">
        <v>42</v>
      </c>
      <c r="X32">
        <v>1.2</v>
      </c>
      <c r="Y32">
        <v>0.14000000000000001</v>
      </c>
      <c r="Z32">
        <v>9</v>
      </c>
      <c r="AA32">
        <v>2.1</v>
      </c>
      <c r="AB32">
        <v>1.2</v>
      </c>
      <c r="AD32">
        <v>41.399999999999899</v>
      </c>
      <c r="AE32">
        <v>41</v>
      </c>
      <c r="AF32">
        <v>91</v>
      </c>
      <c r="AG32">
        <v>4303.2135019601401</v>
      </c>
      <c r="AH32">
        <v>47.2880604611005</v>
      </c>
      <c r="AI32">
        <v>10.1687856255926</v>
      </c>
      <c r="AJ32">
        <v>20.254740706036401</v>
      </c>
      <c r="AK32">
        <v>76.332251166222704</v>
      </c>
      <c r="AL32">
        <f t="shared" si="0"/>
        <v>0.14222368263528057</v>
      </c>
      <c r="AM32">
        <v>0.10088891223410658</v>
      </c>
    </row>
    <row r="33" spans="1:39" x14ac:dyDescent="0.3">
      <c r="A33">
        <v>63129240127</v>
      </c>
      <c r="B33" t="s">
        <v>36</v>
      </c>
      <c r="C33" t="s">
        <v>37</v>
      </c>
      <c r="D33">
        <v>63</v>
      </c>
      <c r="E33">
        <v>129</v>
      </c>
      <c r="F33">
        <v>2401</v>
      </c>
      <c r="G33">
        <v>27</v>
      </c>
      <c r="H33" t="s">
        <v>45</v>
      </c>
      <c r="I33">
        <v>4326</v>
      </c>
      <c r="J33">
        <v>1.00889852927215</v>
      </c>
      <c r="K33" t="s">
        <v>46</v>
      </c>
      <c r="L33">
        <v>106404354</v>
      </c>
      <c r="M33" s="1">
        <v>45014</v>
      </c>
      <c r="N33" s="1">
        <v>45035</v>
      </c>
      <c r="O33" s="1">
        <v>45062</v>
      </c>
      <c r="P33" t="s">
        <v>40</v>
      </c>
      <c r="Q33">
        <v>231665</v>
      </c>
      <c r="R33">
        <v>63129240127</v>
      </c>
      <c r="S33">
        <v>1.17</v>
      </c>
      <c r="T33">
        <v>30</v>
      </c>
      <c r="U33">
        <v>0</v>
      </c>
      <c r="V33" t="s">
        <v>41</v>
      </c>
      <c r="W33" t="s">
        <v>42</v>
      </c>
      <c r="X33">
        <v>1.6</v>
      </c>
      <c r="Y33">
        <v>0.17</v>
      </c>
      <c r="Z33">
        <v>9</v>
      </c>
      <c r="AA33">
        <v>2.7</v>
      </c>
      <c r="AB33">
        <v>1.6</v>
      </c>
      <c r="AD33">
        <v>56.159999999999897</v>
      </c>
      <c r="AE33">
        <v>56</v>
      </c>
      <c r="AF33">
        <v>99</v>
      </c>
      <c r="AG33">
        <v>5424.6300995581596</v>
      </c>
      <c r="AH33">
        <v>54.794243429880403</v>
      </c>
      <c r="AI33">
        <v>5.7198152823967296</v>
      </c>
      <c r="AJ33">
        <v>42.038362239971804</v>
      </c>
      <c r="AK33">
        <v>72.108073071160703</v>
      </c>
      <c r="AL33">
        <f t="shared" si="0"/>
        <v>2.431902724571753E-2</v>
      </c>
      <c r="AM33">
        <v>0.10088891223410658</v>
      </c>
    </row>
    <row r="34" spans="1:39" x14ac:dyDescent="0.3">
      <c r="A34">
        <v>63129240128</v>
      </c>
      <c r="B34" t="s">
        <v>36</v>
      </c>
      <c r="C34" t="s">
        <v>37</v>
      </c>
      <c r="D34">
        <v>63</v>
      </c>
      <c r="E34">
        <v>129</v>
      </c>
      <c r="F34">
        <v>2401</v>
      </c>
      <c r="G34">
        <v>28</v>
      </c>
      <c r="H34" t="s">
        <v>45</v>
      </c>
      <c r="I34">
        <v>4326</v>
      </c>
      <c r="J34">
        <v>1.0088991201937201</v>
      </c>
      <c r="K34" t="s">
        <v>46</v>
      </c>
      <c r="L34">
        <v>106404354</v>
      </c>
      <c r="M34" s="1">
        <v>45014</v>
      </c>
      <c r="N34" s="1">
        <v>45035</v>
      </c>
      <c r="O34" s="1">
        <v>45062</v>
      </c>
      <c r="P34" t="s">
        <v>40</v>
      </c>
      <c r="Q34">
        <v>231666</v>
      </c>
      <c r="R34">
        <v>63129240128</v>
      </c>
      <c r="S34">
        <v>1.2</v>
      </c>
      <c r="T34">
        <v>30</v>
      </c>
      <c r="U34">
        <v>0</v>
      </c>
      <c r="V34" t="s">
        <v>41</v>
      </c>
      <c r="W34" t="s">
        <v>42</v>
      </c>
      <c r="X34">
        <v>1.3</v>
      </c>
      <c r="Y34">
        <v>0.12</v>
      </c>
      <c r="Z34">
        <v>10</v>
      </c>
      <c r="AA34">
        <v>2.1</v>
      </c>
      <c r="AB34">
        <v>1.2</v>
      </c>
      <c r="AD34">
        <v>43.2</v>
      </c>
      <c r="AE34">
        <v>43</v>
      </c>
      <c r="AF34">
        <v>99</v>
      </c>
      <c r="AG34">
        <v>4730.50668583898</v>
      </c>
      <c r="AH34">
        <v>47.782895816555303</v>
      </c>
      <c r="AI34">
        <v>5.4890006252147803</v>
      </c>
      <c r="AJ34">
        <v>36.1210411818343</v>
      </c>
      <c r="AK34">
        <v>60.834597945442198</v>
      </c>
      <c r="AL34">
        <f t="shared" si="0"/>
        <v>0.10608555130915047</v>
      </c>
      <c r="AM34">
        <v>0.10088891223410658</v>
      </c>
    </row>
    <row r="35" spans="1:39" x14ac:dyDescent="0.3">
      <c r="A35">
        <v>63129240129</v>
      </c>
      <c r="B35" t="s">
        <v>36</v>
      </c>
      <c r="C35" t="s">
        <v>37</v>
      </c>
      <c r="D35">
        <v>63</v>
      </c>
      <c r="E35">
        <v>129</v>
      </c>
      <c r="F35">
        <v>2401</v>
      </c>
      <c r="G35">
        <v>29</v>
      </c>
      <c r="H35" t="s">
        <v>45</v>
      </c>
      <c r="I35">
        <v>4326</v>
      </c>
      <c r="J35">
        <v>1.00889971215538</v>
      </c>
      <c r="K35" t="s">
        <v>46</v>
      </c>
      <c r="L35">
        <v>106404354</v>
      </c>
      <c r="M35" s="1">
        <v>45014</v>
      </c>
      <c r="N35" s="1">
        <v>45035</v>
      </c>
      <c r="O35" s="1">
        <v>45062</v>
      </c>
      <c r="P35" t="s">
        <v>40</v>
      </c>
      <c r="Q35">
        <v>231667</v>
      </c>
      <c r="R35">
        <v>63129240129</v>
      </c>
      <c r="S35">
        <v>1.22</v>
      </c>
      <c r="T35">
        <v>30</v>
      </c>
      <c r="U35">
        <v>0</v>
      </c>
      <c r="V35" t="s">
        <v>41</v>
      </c>
      <c r="W35" t="s">
        <v>42</v>
      </c>
      <c r="X35">
        <v>1.2</v>
      </c>
      <c r="Y35">
        <v>0.11</v>
      </c>
      <c r="Z35">
        <v>10</v>
      </c>
      <c r="AA35">
        <v>2</v>
      </c>
      <c r="AB35">
        <v>1.1000000000000001</v>
      </c>
      <c r="AD35">
        <v>40.259999999999899</v>
      </c>
      <c r="AE35">
        <v>40</v>
      </c>
      <c r="AF35">
        <v>99</v>
      </c>
      <c r="AG35">
        <v>4464.65728459808</v>
      </c>
      <c r="AH35">
        <v>45.097548329273501</v>
      </c>
      <c r="AI35">
        <v>5.3625755902409198</v>
      </c>
      <c r="AJ35">
        <v>34.822914470677297</v>
      </c>
      <c r="AK35">
        <v>58.258929379646702</v>
      </c>
      <c r="AL35">
        <f t="shared" si="0"/>
        <v>0.12015768329045241</v>
      </c>
      <c r="AM35">
        <v>0.10088891223410658</v>
      </c>
    </row>
    <row r="36" spans="1:39" x14ac:dyDescent="0.3">
      <c r="A36">
        <v>63129240130</v>
      </c>
      <c r="B36" t="s">
        <v>36</v>
      </c>
      <c r="C36" t="s">
        <v>37</v>
      </c>
      <c r="D36">
        <v>63</v>
      </c>
      <c r="E36">
        <v>129</v>
      </c>
      <c r="F36">
        <v>2401</v>
      </c>
      <c r="G36">
        <v>30</v>
      </c>
      <c r="H36" t="s">
        <v>45</v>
      </c>
      <c r="I36">
        <v>4326</v>
      </c>
      <c r="J36">
        <v>0.98833225463975805</v>
      </c>
      <c r="K36" t="s">
        <v>46</v>
      </c>
      <c r="L36">
        <v>106404354</v>
      </c>
      <c r="M36" s="1">
        <v>45014</v>
      </c>
      <c r="N36" s="1">
        <v>45035</v>
      </c>
      <c r="O36" s="1">
        <v>45062</v>
      </c>
      <c r="P36" t="s">
        <v>40</v>
      </c>
      <c r="Q36">
        <v>231668</v>
      </c>
      <c r="R36">
        <v>63129240130</v>
      </c>
      <c r="S36">
        <v>1.22</v>
      </c>
      <c r="T36">
        <v>30</v>
      </c>
      <c r="U36">
        <v>0</v>
      </c>
      <c r="V36" t="s">
        <v>41</v>
      </c>
      <c r="W36" t="s">
        <v>42</v>
      </c>
      <c r="X36">
        <v>1.2</v>
      </c>
      <c r="Y36">
        <v>0.12</v>
      </c>
      <c r="Z36">
        <v>10</v>
      </c>
      <c r="AA36">
        <v>2.1</v>
      </c>
      <c r="AB36">
        <v>1.2</v>
      </c>
      <c r="AD36">
        <v>43.92</v>
      </c>
      <c r="AE36">
        <v>44</v>
      </c>
      <c r="AF36">
        <v>90</v>
      </c>
      <c r="AG36">
        <v>4047.8377420352599</v>
      </c>
      <c r="AH36">
        <v>44.975974911502803</v>
      </c>
      <c r="AI36">
        <v>10.4007607196033</v>
      </c>
      <c r="AJ36">
        <v>10.7806235386022</v>
      </c>
      <c r="AK36">
        <v>66.700070179708106</v>
      </c>
      <c r="AL36">
        <f t="shared" si="0"/>
        <v>2.4043144615273251E-2</v>
      </c>
      <c r="AM36">
        <v>0.10088891223410658</v>
      </c>
    </row>
    <row r="37" spans="1:39" x14ac:dyDescent="0.3">
      <c r="A37">
        <v>63129240131</v>
      </c>
      <c r="B37" t="s">
        <v>36</v>
      </c>
      <c r="C37" t="s">
        <v>37</v>
      </c>
      <c r="D37">
        <v>63</v>
      </c>
      <c r="E37">
        <v>129</v>
      </c>
      <c r="F37">
        <v>2401</v>
      </c>
      <c r="G37">
        <v>31</v>
      </c>
      <c r="H37" t="s">
        <v>45</v>
      </c>
      <c r="I37">
        <v>4326</v>
      </c>
      <c r="J37">
        <v>0.96454476687969903</v>
      </c>
      <c r="K37" t="s">
        <v>46</v>
      </c>
      <c r="L37">
        <v>106404354</v>
      </c>
      <c r="M37" s="1">
        <v>45014</v>
      </c>
      <c r="N37" s="1">
        <v>45035</v>
      </c>
      <c r="O37" s="1">
        <v>45062</v>
      </c>
      <c r="P37" t="s">
        <v>40</v>
      </c>
      <c r="Q37">
        <v>231669</v>
      </c>
      <c r="R37">
        <v>63129240131</v>
      </c>
      <c r="S37">
        <v>1.19</v>
      </c>
      <c r="T37">
        <v>30</v>
      </c>
      <c r="U37">
        <v>0</v>
      </c>
      <c r="V37" t="s">
        <v>41</v>
      </c>
      <c r="W37" t="s">
        <v>42</v>
      </c>
      <c r="X37">
        <v>1.4</v>
      </c>
      <c r="Y37">
        <v>0.14000000000000001</v>
      </c>
      <c r="Z37">
        <v>10</v>
      </c>
      <c r="AA37">
        <v>2.4</v>
      </c>
      <c r="AB37">
        <v>1.4</v>
      </c>
      <c r="AD37">
        <v>49.979999999999897</v>
      </c>
      <c r="AE37">
        <v>50</v>
      </c>
      <c r="AF37">
        <v>100</v>
      </c>
      <c r="AG37">
        <v>5098.3435322745399</v>
      </c>
      <c r="AH37">
        <v>50.9834353227454</v>
      </c>
      <c r="AI37">
        <v>10.708930979430701</v>
      </c>
      <c r="AJ37">
        <v>30.416775234365499</v>
      </c>
      <c r="AK37">
        <v>108.118192163288</v>
      </c>
      <c r="AL37">
        <f t="shared" si="0"/>
        <v>2.0076737149770006E-2</v>
      </c>
      <c r="AM37">
        <v>0.10088891223410658</v>
      </c>
    </row>
    <row r="38" spans="1:39" x14ac:dyDescent="0.3">
      <c r="A38">
        <v>63129240132</v>
      </c>
      <c r="B38" t="s">
        <v>36</v>
      </c>
      <c r="C38" t="s">
        <v>37</v>
      </c>
      <c r="D38">
        <v>63</v>
      </c>
      <c r="E38">
        <v>129</v>
      </c>
      <c r="F38">
        <v>2401</v>
      </c>
      <c r="G38">
        <v>32</v>
      </c>
      <c r="H38" t="s">
        <v>45</v>
      </c>
      <c r="I38">
        <v>4326</v>
      </c>
      <c r="J38">
        <v>1.0008935597477899</v>
      </c>
      <c r="K38" t="s">
        <v>46</v>
      </c>
      <c r="L38">
        <v>106404354</v>
      </c>
      <c r="M38" s="1">
        <v>45014</v>
      </c>
      <c r="N38" s="1">
        <v>45035</v>
      </c>
      <c r="O38" s="1">
        <v>45062</v>
      </c>
      <c r="P38" t="s">
        <v>40</v>
      </c>
      <c r="Q38">
        <v>231670</v>
      </c>
      <c r="R38">
        <v>63129240132</v>
      </c>
      <c r="S38">
        <v>1.1200000000000001</v>
      </c>
      <c r="T38">
        <v>30</v>
      </c>
      <c r="U38">
        <v>0</v>
      </c>
      <c r="V38" t="s">
        <v>41</v>
      </c>
      <c r="W38" t="s">
        <v>42</v>
      </c>
      <c r="X38">
        <v>1.9</v>
      </c>
      <c r="Y38">
        <v>0.18</v>
      </c>
      <c r="Z38">
        <v>11</v>
      </c>
      <c r="AA38">
        <v>3.3</v>
      </c>
      <c r="AB38">
        <v>1.9</v>
      </c>
      <c r="AD38">
        <v>63.84</v>
      </c>
      <c r="AE38">
        <v>64</v>
      </c>
      <c r="AF38">
        <v>104</v>
      </c>
      <c r="AG38">
        <v>6639.4486583047101</v>
      </c>
      <c r="AH38">
        <v>63.840852483699102</v>
      </c>
      <c r="AI38">
        <v>16.9196570331518</v>
      </c>
      <c r="AJ38">
        <v>20.029042849891901</v>
      </c>
      <c r="AK38">
        <v>140.80874566409301</v>
      </c>
      <c r="AL38">
        <f t="shared" si="0"/>
        <v>1.3353441401920852E-5</v>
      </c>
      <c r="AM38">
        <v>0.10088891223410658</v>
      </c>
    </row>
    <row r="39" spans="1:39" x14ac:dyDescent="0.3">
      <c r="A39">
        <v>63129240133</v>
      </c>
      <c r="B39" t="s">
        <v>36</v>
      </c>
      <c r="C39" t="s">
        <v>37</v>
      </c>
      <c r="D39">
        <v>63</v>
      </c>
      <c r="E39">
        <v>129</v>
      </c>
      <c r="F39">
        <v>2401</v>
      </c>
      <c r="G39">
        <v>33</v>
      </c>
      <c r="H39" t="s">
        <v>45</v>
      </c>
      <c r="I39">
        <v>4326</v>
      </c>
      <c r="J39">
        <v>1.00889969313144</v>
      </c>
      <c r="K39" t="s">
        <v>46</v>
      </c>
      <c r="L39">
        <v>106404354</v>
      </c>
      <c r="M39" s="1">
        <v>45014</v>
      </c>
      <c r="N39" s="1">
        <v>45035</v>
      </c>
      <c r="O39" s="1">
        <v>45062</v>
      </c>
      <c r="P39" t="s">
        <v>40</v>
      </c>
      <c r="Q39">
        <v>231671</v>
      </c>
      <c r="R39">
        <v>63129240133</v>
      </c>
      <c r="S39">
        <v>1.1200000000000001</v>
      </c>
      <c r="T39">
        <v>30</v>
      </c>
      <c r="U39">
        <v>0</v>
      </c>
      <c r="V39" t="s">
        <v>41</v>
      </c>
      <c r="W39" t="s">
        <v>42</v>
      </c>
      <c r="X39">
        <v>1.8</v>
      </c>
      <c r="Y39">
        <v>0.17</v>
      </c>
      <c r="Z39">
        <v>11</v>
      </c>
      <c r="AA39">
        <v>3</v>
      </c>
      <c r="AB39">
        <v>1.8</v>
      </c>
      <c r="AD39">
        <v>60.479999999999897</v>
      </c>
      <c r="AE39">
        <v>60</v>
      </c>
      <c r="AF39">
        <v>96</v>
      </c>
      <c r="AG39">
        <v>5303.0075670871001</v>
      </c>
      <c r="AH39">
        <v>55.239662157157298</v>
      </c>
      <c r="AI39">
        <v>5.8100950524043702</v>
      </c>
      <c r="AJ39">
        <v>39.794690220329201</v>
      </c>
      <c r="AK39">
        <v>68.710892789793704</v>
      </c>
      <c r="AL39">
        <f t="shared" si="0"/>
        <v>8.6645797666048421E-2</v>
      </c>
      <c r="AM39">
        <v>0.10088891223410658</v>
      </c>
    </row>
    <row r="40" spans="1:39" x14ac:dyDescent="0.3">
      <c r="A40">
        <v>63129240134</v>
      </c>
      <c r="B40" t="s">
        <v>36</v>
      </c>
      <c r="C40" t="s">
        <v>37</v>
      </c>
      <c r="D40">
        <v>63</v>
      </c>
      <c r="E40">
        <v>129</v>
      </c>
      <c r="F40">
        <v>2401</v>
      </c>
      <c r="G40">
        <v>34</v>
      </c>
      <c r="H40" t="s">
        <v>45</v>
      </c>
      <c r="I40">
        <v>4326</v>
      </c>
      <c r="J40">
        <v>0.98168983927259801</v>
      </c>
      <c r="K40" t="s">
        <v>46</v>
      </c>
      <c r="L40">
        <v>106404354</v>
      </c>
      <c r="M40" s="1">
        <v>45014</v>
      </c>
      <c r="N40" s="1">
        <v>45035</v>
      </c>
      <c r="O40" s="1">
        <v>45062</v>
      </c>
      <c r="P40" t="s">
        <v>40</v>
      </c>
      <c r="Q40">
        <v>231672</v>
      </c>
      <c r="R40">
        <v>63129240134</v>
      </c>
      <c r="S40">
        <v>1.1299999999999999</v>
      </c>
      <c r="T40">
        <v>30</v>
      </c>
      <c r="U40">
        <v>0</v>
      </c>
      <c r="V40" t="s">
        <v>41</v>
      </c>
      <c r="W40" t="s">
        <v>42</v>
      </c>
      <c r="X40">
        <v>1.7</v>
      </c>
      <c r="Y40">
        <v>0.16</v>
      </c>
      <c r="Z40">
        <v>11</v>
      </c>
      <c r="AA40">
        <v>2.9</v>
      </c>
      <c r="AB40">
        <v>1.7</v>
      </c>
      <c r="AD40">
        <v>57.63</v>
      </c>
      <c r="AE40">
        <v>58</v>
      </c>
      <c r="AF40">
        <v>103</v>
      </c>
      <c r="AG40">
        <v>5544.5914151376501</v>
      </c>
      <c r="AH40">
        <v>53.830984612986903</v>
      </c>
      <c r="AI40">
        <v>8.0574741972359494</v>
      </c>
      <c r="AJ40">
        <v>13.878308355952001</v>
      </c>
      <c r="AK40">
        <v>69.516147416973894</v>
      </c>
      <c r="AL40">
        <f t="shared" si="0"/>
        <v>6.5920794499619975E-2</v>
      </c>
      <c r="AM40">
        <v>0.10088891223410658</v>
      </c>
    </row>
    <row r="41" spans="1:39" x14ac:dyDescent="0.3">
      <c r="A41">
        <v>63129240135</v>
      </c>
      <c r="B41" t="s">
        <v>36</v>
      </c>
      <c r="C41" t="s">
        <v>37</v>
      </c>
      <c r="D41">
        <v>63</v>
      </c>
      <c r="E41">
        <v>129</v>
      </c>
      <c r="F41">
        <v>2401</v>
      </c>
      <c r="G41">
        <v>35</v>
      </c>
      <c r="H41" t="s">
        <v>45</v>
      </c>
      <c r="I41">
        <v>4326</v>
      </c>
      <c r="J41">
        <v>0.94773654078158698</v>
      </c>
      <c r="K41" t="s">
        <v>46</v>
      </c>
      <c r="L41">
        <v>106404354</v>
      </c>
      <c r="M41" s="1">
        <v>45014</v>
      </c>
      <c r="N41" s="1">
        <v>45035</v>
      </c>
      <c r="O41" s="1">
        <v>45062</v>
      </c>
      <c r="P41" t="s">
        <v>40</v>
      </c>
      <c r="Q41">
        <v>231673</v>
      </c>
      <c r="R41">
        <v>63129240135</v>
      </c>
      <c r="S41">
        <v>1.17</v>
      </c>
      <c r="T41">
        <v>30</v>
      </c>
      <c r="U41">
        <v>0</v>
      </c>
      <c r="V41" t="s">
        <v>41</v>
      </c>
      <c r="W41" t="s">
        <v>42</v>
      </c>
      <c r="X41">
        <v>2</v>
      </c>
      <c r="Y41">
        <v>0.22</v>
      </c>
      <c r="Z41">
        <v>9</v>
      </c>
      <c r="AA41">
        <v>3.3</v>
      </c>
      <c r="AB41">
        <v>1.9</v>
      </c>
      <c r="AD41">
        <v>66.689999999999898</v>
      </c>
      <c r="AE41">
        <v>67</v>
      </c>
      <c r="AF41">
        <v>88</v>
      </c>
      <c r="AG41">
        <v>5001.9143938052703</v>
      </c>
      <c r="AH41">
        <v>56.839936293241699</v>
      </c>
      <c r="AI41">
        <v>17.616720796371901</v>
      </c>
      <c r="AJ41">
        <v>1.3483430879602001</v>
      </c>
      <c r="AK41">
        <v>97.125899560043905</v>
      </c>
      <c r="AL41">
        <f t="shared" si="0"/>
        <v>0.14769926086007218</v>
      </c>
      <c r="AM41">
        <v>0.10088891223410658</v>
      </c>
    </row>
    <row r="42" spans="1:39" x14ac:dyDescent="0.3">
      <c r="A42">
        <v>631297791</v>
      </c>
      <c r="B42" t="s">
        <v>36</v>
      </c>
      <c r="C42" t="s">
        <v>37</v>
      </c>
      <c r="D42">
        <v>63</v>
      </c>
      <c r="E42">
        <v>129</v>
      </c>
      <c r="F42">
        <v>779</v>
      </c>
      <c r="G42">
        <v>1</v>
      </c>
      <c r="H42" t="s">
        <v>38</v>
      </c>
      <c r="I42">
        <v>4326</v>
      </c>
      <c r="J42">
        <v>0.99733723795263496</v>
      </c>
      <c r="K42" t="s">
        <v>39</v>
      </c>
      <c r="L42">
        <v>106404354</v>
      </c>
      <c r="M42" s="1">
        <v>45014</v>
      </c>
      <c r="N42" s="1">
        <v>45034</v>
      </c>
      <c r="O42" s="1">
        <v>45098</v>
      </c>
      <c r="P42" t="s">
        <v>40</v>
      </c>
      <c r="Q42">
        <v>231619</v>
      </c>
      <c r="R42">
        <v>631297791</v>
      </c>
      <c r="S42">
        <v>1.2</v>
      </c>
      <c r="T42">
        <v>30</v>
      </c>
      <c r="U42">
        <v>0</v>
      </c>
      <c r="V42" t="s">
        <v>41</v>
      </c>
      <c r="W42">
        <v>0.1</v>
      </c>
      <c r="X42">
        <v>1.5</v>
      </c>
      <c r="Y42">
        <v>0.13</v>
      </c>
      <c r="Z42">
        <v>11</v>
      </c>
      <c r="AA42">
        <v>2.5</v>
      </c>
      <c r="AB42">
        <v>1.4</v>
      </c>
      <c r="AD42">
        <v>50.399999999999899</v>
      </c>
      <c r="AE42">
        <v>50</v>
      </c>
      <c r="AF42">
        <v>109</v>
      </c>
      <c r="AG42">
        <v>5382.0084779044601</v>
      </c>
      <c r="AH42">
        <v>49.376224567930798</v>
      </c>
      <c r="AI42">
        <v>7.0787265818707299</v>
      </c>
      <c r="AJ42">
        <v>33.296633357597898</v>
      </c>
      <c r="AK42">
        <v>72.756697892677806</v>
      </c>
      <c r="AL42">
        <f t="shared" si="0"/>
        <v>2.0313004604545697E-2</v>
      </c>
      <c r="AM42">
        <v>0.10088891223410658</v>
      </c>
    </row>
    <row r="43" spans="1:39" x14ac:dyDescent="0.3">
      <c r="A43">
        <v>631297792</v>
      </c>
      <c r="B43" t="s">
        <v>36</v>
      </c>
      <c r="C43" t="s">
        <v>37</v>
      </c>
      <c r="D43">
        <v>63</v>
      </c>
      <c r="E43">
        <v>129</v>
      </c>
      <c r="F43">
        <v>779</v>
      </c>
      <c r="G43">
        <v>2</v>
      </c>
      <c r="H43" t="s">
        <v>38</v>
      </c>
      <c r="I43">
        <v>4326</v>
      </c>
      <c r="J43">
        <v>1.00510059217694</v>
      </c>
      <c r="K43" t="s">
        <v>39</v>
      </c>
      <c r="L43">
        <v>106404354</v>
      </c>
      <c r="M43" s="1">
        <v>45014</v>
      </c>
      <c r="N43" s="1">
        <v>45034</v>
      </c>
      <c r="O43" s="1">
        <v>45098</v>
      </c>
      <c r="P43" t="s">
        <v>40</v>
      </c>
      <c r="Q43">
        <v>231620</v>
      </c>
      <c r="R43">
        <v>631297792</v>
      </c>
      <c r="S43">
        <v>1.17</v>
      </c>
      <c r="T43">
        <v>30</v>
      </c>
      <c r="U43">
        <v>0</v>
      </c>
      <c r="V43" t="s">
        <v>41</v>
      </c>
      <c r="W43" t="s">
        <v>42</v>
      </c>
      <c r="X43">
        <v>1.9</v>
      </c>
      <c r="Y43">
        <v>0.16</v>
      </c>
      <c r="Z43">
        <v>11</v>
      </c>
      <c r="AA43">
        <v>3.1</v>
      </c>
      <c r="AB43">
        <v>1.8</v>
      </c>
      <c r="AD43">
        <v>63.18</v>
      </c>
      <c r="AE43">
        <v>63</v>
      </c>
      <c r="AF43">
        <v>105</v>
      </c>
      <c r="AG43">
        <v>6352.1714354290698</v>
      </c>
      <c r="AH43">
        <v>60.496870813610201</v>
      </c>
      <c r="AI43">
        <v>12.7243128741073</v>
      </c>
      <c r="AJ43">
        <v>24.643544732046799</v>
      </c>
      <c r="AK43">
        <v>103.353405845032</v>
      </c>
      <c r="AL43">
        <f t="shared" si="0"/>
        <v>4.2468014979262406E-2</v>
      </c>
      <c r="AM43">
        <v>0.10088891223410658</v>
      </c>
    </row>
    <row r="44" spans="1:39" x14ac:dyDescent="0.3">
      <c r="A44">
        <v>631297793</v>
      </c>
      <c r="B44" t="s">
        <v>36</v>
      </c>
      <c r="C44" t="s">
        <v>37</v>
      </c>
      <c r="D44">
        <v>63</v>
      </c>
      <c r="E44">
        <v>129</v>
      </c>
      <c r="F44">
        <v>779</v>
      </c>
      <c r="G44">
        <v>3</v>
      </c>
      <c r="H44" t="s">
        <v>38</v>
      </c>
      <c r="I44">
        <v>4326</v>
      </c>
      <c r="J44">
        <v>0.99939629270732999</v>
      </c>
      <c r="K44" t="s">
        <v>39</v>
      </c>
      <c r="L44">
        <v>106404354</v>
      </c>
      <c r="M44" s="1">
        <v>45014</v>
      </c>
      <c r="N44" s="1">
        <v>45034</v>
      </c>
      <c r="O44" s="1">
        <v>45098</v>
      </c>
      <c r="P44" t="s">
        <v>40</v>
      </c>
      <c r="Q44">
        <v>231621</v>
      </c>
      <c r="R44">
        <v>631297793</v>
      </c>
      <c r="S44">
        <v>1.1599999999999999</v>
      </c>
      <c r="T44">
        <v>30</v>
      </c>
      <c r="U44">
        <v>0</v>
      </c>
      <c r="V44" t="s">
        <v>41</v>
      </c>
      <c r="W44" t="s">
        <v>42</v>
      </c>
      <c r="X44">
        <v>1.7</v>
      </c>
      <c r="Y44">
        <v>0.14000000000000001</v>
      </c>
      <c r="Z44">
        <v>11</v>
      </c>
      <c r="AA44">
        <v>2.8</v>
      </c>
      <c r="AB44">
        <v>1.6</v>
      </c>
      <c r="AD44">
        <v>55.68</v>
      </c>
      <c r="AE44">
        <v>56</v>
      </c>
      <c r="AF44">
        <v>109</v>
      </c>
      <c r="AG44">
        <v>6283.6109343980697</v>
      </c>
      <c r="AH44">
        <v>57.647806737596902</v>
      </c>
      <c r="AI44">
        <v>14.133895555978301</v>
      </c>
      <c r="AJ44">
        <v>33.947260212226603</v>
      </c>
      <c r="AK44">
        <v>123.390945472182</v>
      </c>
      <c r="AL44">
        <f t="shared" si="0"/>
        <v>3.5341356637875396E-2</v>
      </c>
      <c r="AM44">
        <v>0.10088891223410658</v>
      </c>
    </row>
    <row r="45" spans="1:39" x14ac:dyDescent="0.3">
      <c r="A45">
        <v>631297794</v>
      </c>
      <c r="B45" t="s">
        <v>36</v>
      </c>
      <c r="C45" t="s">
        <v>37</v>
      </c>
      <c r="D45">
        <v>63</v>
      </c>
      <c r="E45">
        <v>129</v>
      </c>
      <c r="F45">
        <v>779</v>
      </c>
      <c r="G45">
        <v>4</v>
      </c>
      <c r="H45" t="s">
        <v>38</v>
      </c>
      <c r="I45">
        <v>4326</v>
      </c>
      <c r="J45">
        <v>1.0407776325840099</v>
      </c>
      <c r="K45" t="s">
        <v>39</v>
      </c>
      <c r="L45">
        <v>106404354</v>
      </c>
      <c r="M45" s="1">
        <v>45014</v>
      </c>
      <c r="N45" s="1">
        <v>45034</v>
      </c>
      <c r="O45" s="1">
        <v>45098</v>
      </c>
      <c r="P45" t="s">
        <v>40</v>
      </c>
      <c r="Q45">
        <v>231622</v>
      </c>
      <c r="R45">
        <v>631297794</v>
      </c>
      <c r="S45">
        <v>1.19</v>
      </c>
      <c r="T45">
        <v>30</v>
      </c>
      <c r="U45">
        <v>0</v>
      </c>
      <c r="V45" t="s">
        <v>41</v>
      </c>
      <c r="W45" t="s">
        <v>42</v>
      </c>
      <c r="X45">
        <v>1.6</v>
      </c>
      <c r="Y45">
        <v>0.12</v>
      </c>
      <c r="Z45">
        <v>13</v>
      </c>
      <c r="AA45">
        <v>2.7</v>
      </c>
      <c r="AB45">
        <v>1.5</v>
      </c>
      <c r="AD45">
        <v>53.549999999999898</v>
      </c>
      <c r="AE45">
        <v>54</v>
      </c>
      <c r="AF45">
        <v>99</v>
      </c>
      <c r="AG45">
        <v>4781.7217381662404</v>
      </c>
      <c r="AH45">
        <v>48.300219577436799</v>
      </c>
      <c r="AI45">
        <v>10.7180084712399</v>
      </c>
      <c r="AJ45">
        <v>19.309128417356899</v>
      </c>
      <c r="AK45">
        <v>74.299698145126598</v>
      </c>
      <c r="AL45">
        <f t="shared" si="0"/>
        <v>9.8035115267284936E-2</v>
      </c>
      <c r="AM45">
        <v>0.10088891223410658</v>
      </c>
    </row>
    <row r="46" spans="1:39" x14ac:dyDescent="0.3">
      <c r="A46">
        <v>631297795</v>
      </c>
      <c r="B46" t="s">
        <v>36</v>
      </c>
      <c r="C46" t="s">
        <v>37</v>
      </c>
      <c r="D46">
        <v>63</v>
      </c>
      <c r="E46">
        <v>129</v>
      </c>
      <c r="F46">
        <v>779</v>
      </c>
      <c r="G46">
        <v>5</v>
      </c>
      <c r="H46" t="s">
        <v>38</v>
      </c>
      <c r="I46">
        <v>4326</v>
      </c>
      <c r="J46">
        <v>1.04540542418547</v>
      </c>
      <c r="K46" t="s">
        <v>39</v>
      </c>
      <c r="L46">
        <v>106404354</v>
      </c>
      <c r="M46" s="1">
        <v>45014</v>
      </c>
      <c r="N46" s="1">
        <v>45034</v>
      </c>
      <c r="O46" s="1">
        <v>45098</v>
      </c>
      <c r="P46" t="s">
        <v>40</v>
      </c>
      <c r="Q46">
        <v>231623</v>
      </c>
      <c r="R46">
        <v>631297795</v>
      </c>
      <c r="S46">
        <v>1.19</v>
      </c>
      <c r="T46">
        <v>30</v>
      </c>
      <c r="U46">
        <v>0</v>
      </c>
      <c r="V46" t="s">
        <v>41</v>
      </c>
      <c r="W46" t="s">
        <v>42</v>
      </c>
      <c r="X46">
        <v>1</v>
      </c>
      <c r="Y46">
        <v>0.1</v>
      </c>
      <c r="Z46">
        <v>10</v>
      </c>
      <c r="AA46">
        <v>1.8</v>
      </c>
      <c r="AB46">
        <v>1</v>
      </c>
      <c r="AD46">
        <v>35.700000000000003</v>
      </c>
      <c r="AE46">
        <v>36</v>
      </c>
      <c r="AF46">
        <v>110</v>
      </c>
      <c r="AG46">
        <v>4325.68770212871</v>
      </c>
      <c r="AH46">
        <v>39.324433655715502</v>
      </c>
      <c r="AI46">
        <v>7.2664104281302002</v>
      </c>
      <c r="AJ46">
        <v>21.3928173508029</v>
      </c>
      <c r="AK46">
        <v>55.134303424385898</v>
      </c>
      <c r="AL46">
        <f t="shared" si="0"/>
        <v>0.10152475226093835</v>
      </c>
      <c r="AM46">
        <v>0.10088891223410658</v>
      </c>
    </row>
    <row r="47" spans="1:39" x14ac:dyDescent="0.3">
      <c r="A47">
        <v>631297796</v>
      </c>
      <c r="B47" t="s">
        <v>36</v>
      </c>
      <c r="C47" t="s">
        <v>37</v>
      </c>
      <c r="D47">
        <v>63</v>
      </c>
      <c r="E47">
        <v>129</v>
      </c>
      <c r="F47">
        <v>779</v>
      </c>
      <c r="G47">
        <v>6</v>
      </c>
      <c r="H47" t="s">
        <v>38</v>
      </c>
      <c r="I47">
        <v>4326</v>
      </c>
      <c r="J47">
        <v>1.04294611495657</v>
      </c>
      <c r="K47" t="s">
        <v>39</v>
      </c>
      <c r="L47">
        <v>106404354</v>
      </c>
      <c r="M47" s="1">
        <v>45014</v>
      </c>
      <c r="N47" s="1">
        <v>45034</v>
      </c>
      <c r="O47" s="1">
        <v>45098</v>
      </c>
      <c r="P47" t="s">
        <v>40</v>
      </c>
      <c r="Q47">
        <v>231624</v>
      </c>
      <c r="R47">
        <v>631297796</v>
      </c>
      <c r="S47">
        <v>1.19</v>
      </c>
      <c r="T47">
        <v>30</v>
      </c>
      <c r="U47">
        <v>0</v>
      </c>
      <c r="V47" t="s">
        <v>41</v>
      </c>
      <c r="W47" t="s">
        <v>42</v>
      </c>
      <c r="X47">
        <v>1.3</v>
      </c>
      <c r="Y47">
        <v>0.12</v>
      </c>
      <c r="Z47">
        <v>11</v>
      </c>
      <c r="AA47">
        <v>2.2000000000000002</v>
      </c>
      <c r="AB47">
        <v>1.3</v>
      </c>
      <c r="AD47">
        <v>46.409999999999897</v>
      </c>
      <c r="AE47">
        <v>46</v>
      </c>
      <c r="AF47">
        <v>98</v>
      </c>
      <c r="AG47">
        <v>4796.0862550751899</v>
      </c>
      <c r="AH47">
        <v>48.9396556640325</v>
      </c>
      <c r="AI47">
        <v>10.7843803944884</v>
      </c>
      <c r="AJ47">
        <v>17.875790799076601</v>
      </c>
      <c r="AK47">
        <v>78.085999369405002</v>
      </c>
      <c r="AL47">
        <f t="shared" si="0"/>
        <v>5.4506693902878878E-2</v>
      </c>
      <c r="AM47">
        <v>0.10088891223410658</v>
      </c>
    </row>
    <row r="48" spans="1:39" x14ac:dyDescent="0.3">
      <c r="A48">
        <v>631297797</v>
      </c>
      <c r="B48" t="s">
        <v>36</v>
      </c>
      <c r="C48" t="s">
        <v>37</v>
      </c>
      <c r="D48">
        <v>63</v>
      </c>
      <c r="E48">
        <v>129</v>
      </c>
      <c r="F48">
        <v>779</v>
      </c>
      <c r="G48">
        <v>7</v>
      </c>
      <c r="H48" t="s">
        <v>38</v>
      </c>
      <c r="I48">
        <v>4326</v>
      </c>
      <c r="J48">
        <v>1.00833706714649</v>
      </c>
      <c r="K48" t="s">
        <v>39</v>
      </c>
      <c r="L48">
        <v>106404354</v>
      </c>
      <c r="M48" s="1">
        <v>45014</v>
      </c>
      <c r="N48" s="1">
        <v>45034</v>
      </c>
      <c r="O48" s="1">
        <v>45098</v>
      </c>
      <c r="P48" t="s">
        <v>40</v>
      </c>
      <c r="Q48">
        <v>231625</v>
      </c>
      <c r="R48">
        <v>631297797</v>
      </c>
      <c r="S48">
        <v>1.1599999999999999</v>
      </c>
      <c r="T48">
        <v>30</v>
      </c>
      <c r="U48">
        <v>0</v>
      </c>
      <c r="V48" t="s">
        <v>41</v>
      </c>
      <c r="W48" t="s">
        <v>42</v>
      </c>
      <c r="X48">
        <v>1.9</v>
      </c>
      <c r="Y48">
        <v>0.18</v>
      </c>
      <c r="Z48">
        <v>11</v>
      </c>
      <c r="AA48">
        <v>3.2</v>
      </c>
      <c r="AB48">
        <v>1.9</v>
      </c>
      <c r="AD48">
        <v>66.12</v>
      </c>
      <c r="AE48">
        <v>66</v>
      </c>
      <c r="AF48">
        <v>102</v>
      </c>
      <c r="AG48">
        <v>5966.8671814887502</v>
      </c>
      <c r="AH48">
        <v>58.4986978577328</v>
      </c>
      <c r="AI48">
        <v>17.991087008231698</v>
      </c>
      <c r="AJ48">
        <v>-2.7660040339488501</v>
      </c>
      <c r="AK48">
        <v>107.265287021685</v>
      </c>
      <c r="AL48">
        <f t="shared" si="0"/>
        <v>0.1152647026961162</v>
      </c>
      <c r="AM48">
        <v>0.10088891223410658</v>
      </c>
    </row>
    <row r="49" spans="1:39" x14ac:dyDescent="0.3">
      <c r="A49">
        <v>631297798</v>
      </c>
      <c r="B49" t="s">
        <v>36</v>
      </c>
      <c r="C49" t="s">
        <v>37</v>
      </c>
      <c r="D49">
        <v>63</v>
      </c>
      <c r="E49">
        <v>129</v>
      </c>
      <c r="F49">
        <v>779</v>
      </c>
      <c r="G49">
        <v>8</v>
      </c>
      <c r="H49" t="s">
        <v>38</v>
      </c>
      <c r="I49">
        <v>4326</v>
      </c>
      <c r="J49">
        <v>1.0144343536198599</v>
      </c>
      <c r="K49" t="s">
        <v>39</v>
      </c>
      <c r="L49">
        <v>106404354</v>
      </c>
      <c r="M49" s="1">
        <v>45014</v>
      </c>
      <c r="N49" s="1">
        <v>45034</v>
      </c>
      <c r="O49" s="1">
        <v>45098</v>
      </c>
      <c r="P49" t="s">
        <v>40</v>
      </c>
      <c r="Q49">
        <v>231626</v>
      </c>
      <c r="R49">
        <v>631297798</v>
      </c>
      <c r="S49">
        <v>1.17</v>
      </c>
      <c r="T49">
        <v>30</v>
      </c>
      <c r="U49">
        <v>0</v>
      </c>
      <c r="V49" t="s">
        <v>41</v>
      </c>
      <c r="W49" t="s">
        <v>42</v>
      </c>
      <c r="X49">
        <v>1.5</v>
      </c>
      <c r="Y49">
        <v>0.11</v>
      </c>
      <c r="Z49">
        <v>14</v>
      </c>
      <c r="AA49">
        <v>2.6</v>
      </c>
      <c r="AB49">
        <v>1.5</v>
      </c>
      <c r="AD49">
        <v>52.649999999999899</v>
      </c>
      <c r="AE49">
        <v>53</v>
      </c>
      <c r="AF49">
        <v>99</v>
      </c>
      <c r="AG49">
        <v>5157.1688490166398</v>
      </c>
      <c r="AH49">
        <v>52.0926146365317</v>
      </c>
      <c r="AI49">
        <v>11.0502371872676</v>
      </c>
      <c r="AJ49">
        <v>-2.7066537743392001</v>
      </c>
      <c r="AK49">
        <v>94.358875472868306</v>
      </c>
      <c r="AL49">
        <f t="shared" si="0"/>
        <v>1.0586616590089281E-2</v>
      </c>
      <c r="AM49">
        <v>0.10088891223410658</v>
      </c>
    </row>
    <row r="50" spans="1:39" x14ac:dyDescent="0.3">
      <c r="A50">
        <v>6312977910</v>
      </c>
      <c r="B50" t="s">
        <v>36</v>
      </c>
      <c r="C50" t="s">
        <v>37</v>
      </c>
      <c r="D50">
        <v>63</v>
      </c>
      <c r="E50">
        <v>129</v>
      </c>
      <c r="F50">
        <v>779</v>
      </c>
      <c r="G50">
        <v>10</v>
      </c>
      <c r="H50" t="s">
        <v>38</v>
      </c>
      <c r="I50">
        <v>4326</v>
      </c>
      <c r="J50">
        <v>1.04507659423082</v>
      </c>
      <c r="K50" t="s">
        <v>39</v>
      </c>
      <c r="L50">
        <v>106404354</v>
      </c>
      <c r="M50" s="1">
        <v>45014</v>
      </c>
      <c r="N50" s="1">
        <v>45034</v>
      </c>
      <c r="O50" s="1">
        <v>45098</v>
      </c>
      <c r="P50" t="s">
        <v>40</v>
      </c>
      <c r="Q50">
        <v>231627</v>
      </c>
      <c r="R50">
        <v>6312977910</v>
      </c>
      <c r="S50">
        <v>1.25</v>
      </c>
      <c r="T50">
        <v>30</v>
      </c>
      <c r="U50">
        <v>0</v>
      </c>
      <c r="V50" t="s">
        <v>41</v>
      </c>
      <c r="W50" t="s">
        <v>42</v>
      </c>
      <c r="X50">
        <v>0.9</v>
      </c>
      <c r="Y50">
        <v>0.09</v>
      </c>
      <c r="Z50">
        <v>10</v>
      </c>
      <c r="AA50">
        <v>1.5</v>
      </c>
      <c r="AB50">
        <v>0.9</v>
      </c>
      <c r="AD50">
        <v>33.75</v>
      </c>
      <c r="AE50">
        <v>34</v>
      </c>
      <c r="AF50">
        <v>100</v>
      </c>
      <c r="AG50">
        <v>4071.2476162650501</v>
      </c>
      <c r="AH50">
        <v>40.712476162650503</v>
      </c>
      <c r="AI50">
        <v>13.407640595308999</v>
      </c>
      <c r="AJ50">
        <v>24.656508365603202</v>
      </c>
      <c r="AK50">
        <v>93.497189512846603</v>
      </c>
      <c r="AL50">
        <f t="shared" si="0"/>
        <v>0.20629559000445935</v>
      </c>
      <c r="AM50">
        <v>0.10088891223410658</v>
      </c>
    </row>
    <row r="51" spans="1:39" x14ac:dyDescent="0.3">
      <c r="A51">
        <v>6312977912</v>
      </c>
      <c r="B51" t="s">
        <v>36</v>
      </c>
      <c r="C51" t="s">
        <v>37</v>
      </c>
      <c r="D51">
        <v>63</v>
      </c>
      <c r="E51">
        <v>129</v>
      </c>
      <c r="F51">
        <v>779</v>
      </c>
      <c r="G51">
        <v>12</v>
      </c>
      <c r="H51" t="s">
        <v>38</v>
      </c>
      <c r="I51">
        <v>4326</v>
      </c>
      <c r="J51">
        <v>1.0152967779498601</v>
      </c>
      <c r="K51" t="s">
        <v>39</v>
      </c>
      <c r="L51">
        <v>106404354</v>
      </c>
      <c r="M51" s="1">
        <v>45014</v>
      </c>
      <c r="N51" s="1">
        <v>45062</v>
      </c>
      <c r="O51" s="1">
        <v>45062</v>
      </c>
      <c r="P51" t="s">
        <v>40</v>
      </c>
      <c r="Q51">
        <v>233427</v>
      </c>
      <c r="R51">
        <v>6312977912</v>
      </c>
      <c r="S51">
        <v>1.27</v>
      </c>
      <c r="T51">
        <v>30</v>
      </c>
      <c r="U51">
        <v>0</v>
      </c>
      <c r="V51" t="s">
        <v>41</v>
      </c>
      <c r="W51" t="s">
        <v>42</v>
      </c>
      <c r="X51">
        <v>1</v>
      </c>
      <c r="Y51">
        <v>0.1</v>
      </c>
      <c r="Z51">
        <v>10</v>
      </c>
      <c r="AA51">
        <v>1.6</v>
      </c>
      <c r="AB51">
        <v>1</v>
      </c>
      <c r="AD51">
        <v>38.1</v>
      </c>
      <c r="AE51">
        <v>38</v>
      </c>
      <c r="AF51">
        <v>89</v>
      </c>
      <c r="AG51">
        <v>3801.45200458298</v>
      </c>
      <c r="AH51">
        <v>42.712943871718799</v>
      </c>
      <c r="AI51">
        <v>13.703918545312099</v>
      </c>
      <c r="AJ51">
        <v>25.283893739786901</v>
      </c>
      <c r="AK51">
        <v>134.16220329920799</v>
      </c>
      <c r="AL51">
        <f t="shared" si="0"/>
        <v>0.12107464230233066</v>
      </c>
      <c r="AM51">
        <v>0.10088891223410658</v>
      </c>
    </row>
    <row r="52" spans="1:39" x14ac:dyDescent="0.3">
      <c r="A52">
        <v>6312977913</v>
      </c>
      <c r="B52" t="s">
        <v>36</v>
      </c>
      <c r="C52" t="s">
        <v>37</v>
      </c>
      <c r="D52">
        <v>63</v>
      </c>
      <c r="E52">
        <v>129</v>
      </c>
      <c r="F52">
        <v>779</v>
      </c>
      <c r="G52">
        <v>13</v>
      </c>
      <c r="H52" t="s">
        <v>38</v>
      </c>
      <c r="I52">
        <v>4326</v>
      </c>
      <c r="J52">
        <v>1.0454048422072</v>
      </c>
      <c r="K52" t="s">
        <v>39</v>
      </c>
      <c r="L52">
        <v>106404354</v>
      </c>
      <c r="M52" s="1">
        <v>45014</v>
      </c>
      <c r="N52" s="1">
        <v>45062</v>
      </c>
      <c r="O52" s="1">
        <v>45062</v>
      </c>
      <c r="P52" t="s">
        <v>40</v>
      </c>
      <c r="Q52">
        <v>233428</v>
      </c>
      <c r="R52">
        <v>6312977913</v>
      </c>
      <c r="S52">
        <v>1.22</v>
      </c>
      <c r="T52">
        <v>30</v>
      </c>
      <c r="U52">
        <v>0</v>
      </c>
      <c r="V52" t="s">
        <v>41</v>
      </c>
      <c r="W52" t="s">
        <v>42</v>
      </c>
      <c r="X52">
        <v>0.9</v>
      </c>
      <c r="Y52">
        <v>0.09</v>
      </c>
      <c r="Z52">
        <v>10</v>
      </c>
      <c r="AA52">
        <v>1.5</v>
      </c>
      <c r="AB52">
        <v>0.9</v>
      </c>
      <c r="AD52">
        <v>32.939999999999898</v>
      </c>
      <c r="AE52">
        <v>33</v>
      </c>
      <c r="AF52">
        <v>99</v>
      </c>
      <c r="AG52">
        <v>3794.4185465584601</v>
      </c>
      <c r="AH52">
        <v>38.327460066246999</v>
      </c>
      <c r="AI52">
        <v>7.21220558797578</v>
      </c>
      <c r="AJ52">
        <v>27.451576810104498</v>
      </c>
      <c r="AK52">
        <v>65.811836273186699</v>
      </c>
      <c r="AL52">
        <f t="shared" si="0"/>
        <v>0.16355373607307583</v>
      </c>
      <c r="AM52">
        <v>0.10088891223410658</v>
      </c>
    </row>
    <row r="53" spans="1:39" x14ac:dyDescent="0.3">
      <c r="A53">
        <v>6312977914</v>
      </c>
      <c r="B53" t="s">
        <v>36</v>
      </c>
      <c r="C53" t="s">
        <v>37</v>
      </c>
      <c r="D53">
        <v>63</v>
      </c>
      <c r="E53">
        <v>129</v>
      </c>
      <c r="F53">
        <v>779</v>
      </c>
      <c r="G53">
        <v>14</v>
      </c>
      <c r="H53" t="s">
        <v>38</v>
      </c>
      <c r="I53">
        <v>4326</v>
      </c>
      <c r="J53">
        <v>1.04540421847701</v>
      </c>
      <c r="K53" t="s">
        <v>39</v>
      </c>
      <c r="L53">
        <v>106404354</v>
      </c>
      <c r="M53" s="1">
        <v>45014</v>
      </c>
      <c r="N53" s="1">
        <v>45062</v>
      </c>
      <c r="O53" s="1">
        <v>45062</v>
      </c>
      <c r="P53" t="s">
        <v>40</v>
      </c>
      <c r="Q53">
        <v>233429</v>
      </c>
      <c r="R53">
        <v>6312977914</v>
      </c>
      <c r="S53">
        <v>1.25</v>
      </c>
      <c r="T53">
        <v>30</v>
      </c>
      <c r="U53">
        <v>0</v>
      </c>
      <c r="V53" t="s">
        <v>41</v>
      </c>
      <c r="W53" t="s">
        <v>42</v>
      </c>
      <c r="X53">
        <v>1.1000000000000001</v>
      </c>
      <c r="Y53">
        <v>0.09</v>
      </c>
      <c r="Z53">
        <v>12</v>
      </c>
      <c r="AA53">
        <v>1.8</v>
      </c>
      <c r="AB53">
        <v>1.1000000000000001</v>
      </c>
      <c r="AD53">
        <v>41.25</v>
      </c>
      <c r="AE53">
        <v>41</v>
      </c>
      <c r="AF53">
        <v>99</v>
      </c>
      <c r="AG53">
        <v>3473.8454579197501</v>
      </c>
      <c r="AH53">
        <v>35.089348059795398</v>
      </c>
      <c r="AI53">
        <v>7.1357944264901096</v>
      </c>
      <c r="AJ53">
        <v>12.3078402011888</v>
      </c>
      <c r="AK53">
        <v>57.622605297003297</v>
      </c>
      <c r="AL53">
        <f t="shared" si="0"/>
        <v>0.14934913794435398</v>
      </c>
      <c r="AM53">
        <v>0.10088891223410658</v>
      </c>
    </row>
    <row r="54" spans="1:39" x14ac:dyDescent="0.3">
      <c r="A54">
        <v>6312977916</v>
      </c>
      <c r="B54" t="s">
        <v>36</v>
      </c>
      <c r="C54" t="s">
        <v>37</v>
      </c>
      <c r="D54">
        <v>63</v>
      </c>
      <c r="E54">
        <v>129</v>
      </c>
      <c r="F54">
        <v>779</v>
      </c>
      <c r="G54">
        <v>16</v>
      </c>
      <c r="H54" t="s">
        <v>38</v>
      </c>
      <c r="I54">
        <v>4326</v>
      </c>
      <c r="J54">
        <v>1.0192751595541301</v>
      </c>
      <c r="K54" t="s">
        <v>39</v>
      </c>
      <c r="L54">
        <v>106404354</v>
      </c>
      <c r="M54" s="1">
        <v>45014</v>
      </c>
      <c r="N54" s="1">
        <v>45062</v>
      </c>
      <c r="O54" s="1">
        <v>45062</v>
      </c>
      <c r="P54" t="s">
        <v>40</v>
      </c>
      <c r="Q54">
        <v>233431</v>
      </c>
      <c r="R54">
        <v>6312977916</v>
      </c>
      <c r="S54">
        <v>1.24</v>
      </c>
      <c r="T54">
        <v>30</v>
      </c>
      <c r="U54">
        <v>0</v>
      </c>
      <c r="V54" t="s">
        <v>41</v>
      </c>
      <c r="W54" t="s">
        <v>42</v>
      </c>
      <c r="X54">
        <v>1</v>
      </c>
      <c r="Y54">
        <v>0.09</v>
      </c>
      <c r="Z54">
        <v>11</v>
      </c>
      <c r="AA54">
        <v>1.7</v>
      </c>
      <c r="AB54">
        <v>1</v>
      </c>
      <c r="AD54">
        <v>37.200000000000003</v>
      </c>
      <c r="AE54">
        <v>37</v>
      </c>
      <c r="AF54">
        <v>111</v>
      </c>
      <c r="AG54">
        <v>4639.3239984142501</v>
      </c>
      <c r="AH54">
        <v>41.795711697425702</v>
      </c>
      <c r="AI54">
        <v>14.087635082640199</v>
      </c>
      <c r="AJ54">
        <v>14.349273028930201</v>
      </c>
      <c r="AK54">
        <v>127.584490465741</v>
      </c>
      <c r="AL54">
        <f t="shared" si="0"/>
        <v>0.12354063702757255</v>
      </c>
      <c r="AM54">
        <v>0.10088891223410658</v>
      </c>
    </row>
    <row r="55" spans="1:39" x14ac:dyDescent="0.3">
      <c r="A55">
        <v>6312938665</v>
      </c>
      <c r="B55" t="s">
        <v>36</v>
      </c>
      <c r="C55" t="s">
        <v>37</v>
      </c>
      <c r="D55">
        <v>63</v>
      </c>
      <c r="E55">
        <v>129</v>
      </c>
      <c r="F55">
        <v>3866</v>
      </c>
      <c r="G55">
        <v>5</v>
      </c>
      <c r="H55" t="s">
        <v>43</v>
      </c>
      <c r="I55">
        <v>4326</v>
      </c>
      <c r="J55">
        <v>1.0530756228309099</v>
      </c>
      <c r="K55" t="s">
        <v>39</v>
      </c>
      <c r="L55">
        <v>106404354</v>
      </c>
      <c r="M55" s="1">
        <v>45014</v>
      </c>
      <c r="N55" s="1">
        <v>45035</v>
      </c>
      <c r="O55" s="1">
        <v>45062</v>
      </c>
      <c r="P55" t="s">
        <v>40</v>
      </c>
      <c r="Q55">
        <v>231678</v>
      </c>
      <c r="R55">
        <v>6312938665</v>
      </c>
      <c r="S55">
        <v>1.1100000000000001</v>
      </c>
      <c r="T55">
        <v>30</v>
      </c>
      <c r="U55">
        <v>0</v>
      </c>
      <c r="V55" t="s">
        <v>41</v>
      </c>
      <c r="W55" t="s">
        <v>42</v>
      </c>
      <c r="X55">
        <v>2</v>
      </c>
      <c r="Y55">
        <v>0.18</v>
      </c>
      <c r="Z55">
        <v>11</v>
      </c>
      <c r="AA55">
        <v>3.5</v>
      </c>
      <c r="AB55">
        <v>2</v>
      </c>
      <c r="AD55">
        <v>66.599999999999895</v>
      </c>
      <c r="AE55">
        <v>67</v>
      </c>
      <c r="AF55">
        <v>108</v>
      </c>
      <c r="AG55">
        <v>6463.0488623364099</v>
      </c>
      <c r="AH55">
        <v>59.8430450216335</v>
      </c>
      <c r="AI55">
        <v>10.6814237589212</v>
      </c>
      <c r="AJ55">
        <v>37.134400026333701</v>
      </c>
      <c r="AK55">
        <v>90.439372089994507</v>
      </c>
      <c r="AL55">
        <f t="shared" si="0"/>
        <v>0.10145578045595204</v>
      </c>
      <c r="AM55">
        <v>0.10088891223410658</v>
      </c>
    </row>
    <row r="56" spans="1:39" x14ac:dyDescent="0.3">
      <c r="A56">
        <v>6312938666</v>
      </c>
      <c r="B56" t="s">
        <v>36</v>
      </c>
      <c r="C56" t="s">
        <v>37</v>
      </c>
      <c r="D56">
        <v>63</v>
      </c>
      <c r="E56">
        <v>129</v>
      </c>
      <c r="F56">
        <v>3866</v>
      </c>
      <c r="G56">
        <v>6</v>
      </c>
      <c r="H56" t="s">
        <v>43</v>
      </c>
      <c r="I56">
        <v>4326</v>
      </c>
      <c r="J56">
        <v>1.0087709910079301</v>
      </c>
      <c r="K56" t="s">
        <v>39</v>
      </c>
      <c r="L56">
        <v>106404354</v>
      </c>
      <c r="M56" s="1">
        <v>45014</v>
      </c>
      <c r="N56" s="1">
        <v>45035</v>
      </c>
      <c r="O56" s="1">
        <v>45062</v>
      </c>
      <c r="P56" t="s">
        <v>40</v>
      </c>
      <c r="Q56">
        <v>231679</v>
      </c>
      <c r="R56">
        <v>6312938666</v>
      </c>
      <c r="S56">
        <v>1.1599999999999999</v>
      </c>
      <c r="T56">
        <v>30</v>
      </c>
      <c r="U56">
        <v>0</v>
      </c>
      <c r="V56" t="s">
        <v>41</v>
      </c>
      <c r="W56" t="s">
        <v>42</v>
      </c>
      <c r="X56">
        <v>1.6</v>
      </c>
      <c r="Y56">
        <v>0.13</v>
      </c>
      <c r="Z56">
        <v>12</v>
      </c>
      <c r="AA56">
        <v>2.7</v>
      </c>
      <c r="AB56">
        <v>1.6</v>
      </c>
      <c r="AD56">
        <v>55.68</v>
      </c>
      <c r="AE56">
        <v>56</v>
      </c>
      <c r="AF56">
        <v>107</v>
      </c>
      <c r="AG56">
        <v>6103.5963455164301</v>
      </c>
      <c r="AH56">
        <v>57.042956500153601</v>
      </c>
      <c r="AI56">
        <v>9.6166928842562704</v>
      </c>
      <c r="AJ56">
        <v>25.885594917359199</v>
      </c>
      <c r="AK56">
        <v>85.269349992159405</v>
      </c>
      <c r="AL56">
        <f t="shared" si="0"/>
        <v>2.4478385419425302E-2</v>
      </c>
      <c r="AM56">
        <v>0.10088891223410658</v>
      </c>
    </row>
    <row r="57" spans="1:39" x14ac:dyDescent="0.3">
      <c r="A57">
        <v>6312938667</v>
      </c>
      <c r="B57" t="s">
        <v>36</v>
      </c>
      <c r="C57" t="s">
        <v>37</v>
      </c>
      <c r="D57">
        <v>63</v>
      </c>
      <c r="E57">
        <v>129</v>
      </c>
      <c r="F57">
        <v>3866</v>
      </c>
      <c r="G57">
        <v>7</v>
      </c>
      <c r="H57" t="s">
        <v>43</v>
      </c>
      <c r="I57">
        <v>4326</v>
      </c>
      <c r="J57">
        <v>1.0295247539912</v>
      </c>
      <c r="K57" t="s">
        <v>39</v>
      </c>
      <c r="L57">
        <v>106404354</v>
      </c>
      <c r="M57" s="1">
        <v>45014</v>
      </c>
      <c r="N57" s="1">
        <v>45035</v>
      </c>
      <c r="O57" s="1">
        <v>45062</v>
      </c>
      <c r="P57" t="s">
        <v>40</v>
      </c>
      <c r="Q57">
        <v>231680</v>
      </c>
      <c r="R57">
        <v>6312938667</v>
      </c>
      <c r="S57">
        <v>1.1499999999999999</v>
      </c>
      <c r="T57">
        <v>30</v>
      </c>
      <c r="U57">
        <v>0</v>
      </c>
      <c r="V57" t="s">
        <v>41</v>
      </c>
      <c r="W57" t="s">
        <v>42</v>
      </c>
      <c r="X57">
        <v>1.8</v>
      </c>
      <c r="Y57">
        <v>0.14000000000000001</v>
      </c>
      <c r="Z57">
        <v>13</v>
      </c>
      <c r="AA57">
        <v>3.1</v>
      </c>
      <c r="AB57">
        <v>1.8</v>
      </c>
      <c r="AD57">
        <v>62.1</v>
      </c>
      <c r="AE57">
        <v>62</v>
      </c>
      <c r="AF57">
        <v>102</v>
      </c>
      <c r="AG57">
        <v>5777.0159189794904</v>
      </c>
      <c r="AH57">
        <v>56.637410970387101</v>
      </c>
      <c r="AI57">
        <v>8.6142247429639394</v>
      </c>
      <c r="AJ57">
        <v>27.6543015466276</v>
      </c>
      <c r="AK57">
        <v>77.629043863940197</v>
      </c>
      <c r="AL57">
        <f t="shared" si="0"/>
        <v>8.7964396612123991E-2</v>
      </c>
      <c r="AM57">
        <v>0.10088891223410658</v>
      </c>
    </row>
    <row r="58" spans="1:39" x14ac:dyDescent="0.3">
      <c r="A58">
        <v>6312938668</v>
      </c>
      <c r="B58" t="s">
        <v>36</v>
      </c>
      <c r="C58" t="s">
        <v>37</v>
      </c>
      <c r="D58">
        <v>63</v>
      </c>
      <c r="E58">
        <v>129</v>
      </c>
      <c r="F58">
        <v>3866</v>
      </c>
      <c r="G58">
        <v>8</v>
      </c>
      <c r="H58" t="s">
        <v>43</v>
      </c>
      <c r="I58">
        <v>4326</v>
      </c>
      <c r="J58">
        <v>1.0530762006502601</v>
      </c>
      <c r="K58" t="s">
        <v>39</v>
      </c>
      <c r="L58">
        <v>106404354</v>
      </c>
      <c r="M58" s="1">
        <v>45014</v>
      </c>
      <c r="N58" s="1">
        <v>45035</v>
      </c>
      <c r="O58" s="1">
        <v>45062</v>
      </c>
      <c r="P58" t="s">
        <v>40</v>
      </c>
      <c r="Q58">
        <v>231681</v>
      </c>
      <c r="R58">
        <v>6312938668</v>
      </c>
      <c r="S58">
        <v>1.1599999999999999</v>
      </c>
      <c r="T58">
        <v>30</v>
      </c>
      <c r="U58">
        <v>0</v>
      </c>
      <c r="V58" t="s">
        <v>41</v>
      </c>
      <c r="W58" t="s">
        <v>42</v>
      </c>
      <c r="X58">
        <v>1.3</v>
      </c>
      <c r="Y58">
        <v>0.13</v>
      </c>
      <c r="Z58">
        <v>10</v>
      </c>
      <c r="AA58">
        <v>2.2999999999999998</v>
      </c>
      <c r="AB58">
        <v>1.3</v>
      </c>
      <c r="AD58">
        <v>45.24</v>
      </c>
      <c r="AE58">
        <v>45</v>
      </c>
      <c r="AF58">
        <v>110</v>
      </c>
      <c r="AG58">
        <v>5421.8481814777997</v>
      </c>
      <c r="AH58">
        <v>49.289528922525498</v>
      </c>
      <c r="AI58">
        <v>5.2742466015752498</v>
      </c>
      <c r="AJ58">
        <v>35.5491663097594</v>
      </c>
      <c r="AK58">
        <v>62.3102112671871</v>
      </c>
      <c r="AL58">
        <f t="shared" si="0"/>
        <v>8.9512133565992399E-2</v>
      </c>
      <c r="AM58">
        <v>0.10088891223410658</v>
      </c>
    </row>
    <row r="59" spans="1:39" x14ac:dyDescent="0.3">
      <c r="A59">
        <v>6312938669</v>
      </c>
      <c r="B59" t="s">
        <v>36</v>
      </c>
      <c r="C59" t="s">
        <v>37</v>
      </c>
      <c r="D59">
        <v>63</v>
      </c>
      <c r="E59">
        <v>129</v>
      </c>
      <c r="F59">
        <v>3866</v>
      </c>
      <c r="G59">
        <v>9</v>
      </c>
      <c r="H59" t="s">
        <v>43</v>
      </c>
      <c r="I59">
        <v>4326</v>
      </c>
      <c r="J59">
        <v>1.02936388906236</v>
      </c>
      <c r="K59" t="s">
        <v>39</v>
      </c>
      <c r="L59">
        <v>106404354</v>
      </c>
      <c r="M59" s="1">
        <v>45014</v>
      </c>
      <c r="N59" s="1">
        <v>45035</v>
      </c>
      <c r="O59" s="1">
        <v>45062</v>
      </c>
      <c r="P59" t="s">
        <v>40</v>
      </c>
      <c r="Q59">
        <v>231682</v>
      </c>
      <c r="R59">
        <v>6312938669</v>
      </c>
      <c r="S59">
        <v>1.18</v>
      </c>
      <c r="T59">
        <v>30</v>
      </c>
      <c r="U59">
        <v>0</v>
      </c>
      <c r="V59" t="s">
        <v>41</v>
      </c>
      <c r="W59" t="s">
        <v>42</v>
      </c>
      <c r="X59">
        <v>1.4</v>
      </c>
      <c r="Y59">
        <v>0.13</v>
      </c>
      <c r="Z59">
        <v>10</v>
      </c>
      <c r="AA59">
        <v>2.2999999999999998</v>
      </c>
      <c r="AB59">
        <v>1.3</v>
      </c>
      <c r="AD59">
        <v>46.02</v>
      </c>
      <c r="AE59">
        <v>46</v>
      </c>
      <c r="AF59">
        <v>106</v>
      </c>
      <c r="AG59">
        <v>5036.5565661762403</v>
      </c>
      <c r="AH59">
        <v>47.514684586568301</v>
      </c>
      <c r="AI59">
        <v>7.3352318194303203</v>
      </c>
      <c r="AJ59">
        <v>14.3270808616235</v>
      </c>
      <c r="AK59">
        <v>73.528124590745506</v>
      </c>
      <c r="AL59">
        <f t="shared" si="0"/>
        <v>3.2479021872409766E-2</v>
      </c>
      <c r="AM59">
        <v>0.10088891223410658</v>
      </c>
    </row>
    <row r="60" spans="1:39" x14ac:dyDescent="0.3">
      <c r="A60">
        <v>63129386610</v>
      </c>
      <c r="B60" t="s">
        <v>36</v>
      </c>
      <c r="C60" t="s">
        <v>37</v>
      </c>
      <c r="D60">
        <v>63</v>
      </c>
      <c r="E60">
        <v>129</v>
      </c>
      <c r="F60">
        <v>3866</v>
      </c>
      <c r="G60">
        <v>10</v>
      </c>
      <c r="H60" t="s">
        <v>43</v>
      </c>
      <c r="I60">
        <v>4326</v>
      </c>
      <c r="J60">
        <v>1.03847946773832</v>
      </c>
      <c r="K60" t="s">
        <v>39</v>
      </c>
      <c r="L60">
        <v>106404354</v>
      </c>
      <c r="M60" s="1">
        <v>45014</v>
      </c>
      <c r="N60" s="1">
        <v>45035</v>
      </c>
      <c r="O60" s="1">
        <v>45062</v>
      </c>
      <c r="P60" t="s">
        <v>40</v>
      </c>
      <c r="Q60">
        <v>231683</v>
      </c>
      <c r="R60">
        <v>63129386610</v>
      </c>
      <c r="S60">
        <v>1.24</v>
      </c>
      <c r="T60">
        <v>30</v>
      </c>
      <c r="U60">
        <v>0</v>
      </c>
      <c r="V60" t="s">
        <v>41</v>
      </c>
      <c r="W60" t="s">
        <v>42</v>
      </c>
      <c r="X60">
        <v>1.1000000000000001</v>
      </c>
      <c r="Y60">
        <v>0.11</v>
      </c>
      <c r="Z60">
        <v>10</v>
      </c>
      <c r="AA60">
        <v>1.9</v>
      </c>
      <c r="AB60">
        <v>1.1000000000000001</v>
      </c>
      <c r="AD60">
        <v>40.92</v>
      </c>
      <c r="AE60">
        <v>41</v>
      </c>
      <c r="AF60">
        <v>104</v>
      </c>
      <c r="AG60">
        <v>4479.6258667457796</v>
      </c>
      <c r="AH60">
        <v>43.073325641786397</v>
      </c>
      <c r="AI60">
        <v>8.1254362109009595</v>
      </c>
      <c r="AJ60">
        <v>25.824222966508</v>
      </c>
      <c r="AK60">
        <v>71.559336001595597</v>
      </c>
      <c r="AL60">
        <f t="shared" si="0"/>
        <v>5.2622816270439764E-2</v>
      </c>
      <c r="AM60">
        <v>0.10088891223410658</v>
      </c>
    </row>
    <row r="61" spans="1:39" x14ac:dyDescent="0.3">
      <c r="A61">
        <v>63129386611</v>
      </c>
      <c r="B61" t="s">
        <v>36</v>
      </c>
      <c r="C61" t="s">
        <v>37</v>
      </c>
      <c r="D61">
        <v>63</v>
      </c>
      <c r="E61">
        <v>129</v>
      </c>
      <c r="F61">
        <v>3866</v>
      </c>
      <c r="G61">
        <v>11</v>
      </c>
      <c r="H61" t="s">
        <v>43</v>
      </c>
      <c r="I61">
        <v>4326</v>
      </c>
      <c r="J61">
        <v>1.03059147641104</v>
      </c>
      <c r="K61" t="s">
        <v>39</v>
      </c>
      <c r="L61">
        <v>106404354</v>
      </c>
      <c r="M61" s="1">
        <v>45014</v>
      </c>
      <c r="N61" s="1">
        <v>45035</v>
      </c>
      <c r="O61" s="1">
        <v>45062</v>
      </c>
      <c r="P61" t="s">
        <v>40</v>
      </c>
      <c r="Q61">
        <v>231684</v>
      </c>
      <c r="R61">
        <v>63129386611</v>
      </c>
      <c r="S61">
        <v>1.17</v>
      </c>
      <c r="T61">
        <v>30</v>
      </c>
      <c r="U61">
        <v>0</v>
      </c>
      <c r="V61" t="s">
        <v>41</v>
      </c>
      <c r="W61" t="s">
        <v>42</v>
      </c>
      <c r="X61">
        <v>1.5</v>
      </c>
      <c r="Y61">
        <v>0.12</v>
      </c>
      <c r="Z61">
        <v>13</v>
      </c>
      <c r="AA61">
        <v>2.7</v>
      </c>
      <c r="AB61">
        <v>1.5</v>
      </c>
      <c r="AD61">
        <v>52.649999999999899</v>
      </c>
      <c r="AE61">
        <v>53</v>
      </c>
      <c r="AF61">
        <v>101</v>
      </c>
      <c r="AG61">
        <v>5222.0266050626797</v>
      </c>
      <c r="AH61">
        <v>51.703233713491898</v>
      </c>
      <c r="AI61">
        <v>12.5907092008202</v>
      </c>
      <c r="AJ61">
        <v>1.95602718480126</v>
      </c>
      <c r="AK61">
        <v>88.136905880099903</v>
      </c>
      <c r="AL61">
        <f t="shared" si="0"/>
        <v>1.7982265650674328E-2</v>
      </c>
      <c r="AM61">
        <v>0.10088891223410658</v>
      </c>
    </row>
    <row r="62" spans="1:39" x14ac:dyDescent="0.3">
      <c r="A62">
        <v>63129386612</v>
      </c>
      <c r="B62" t="s">
        <v>36</v>
      </c>
      <c r="C62" t="s">
        <v>37</v>
      </c>
      <c r="D62">
        <v>63</v>
      </c>
      <c r="E62">
        <v>129</v>
      </c>
      <c r="F62">
        <v>3866</v>
      </c>
      <c r="G62">
        <v>12</v>
      </c>
      <c r="H62" t="s">
        <v>43</v>
      </c>
      <c r="I62">
        <v>4326</v>
      </c>
      <c r="J62">
        <v>0.98758035106219499</v>
      </c>
      <c r="K62" t="s">
        <v>39</v>
      </c>
      <c r="L62">
        <v>106404354</v>
      </c>
      <c r="M62" s="1">
        <v>45014</v>
      </c>
      <c r="N62" s="1">
        <v>45035</v>
      </c>
      <c r="O62" s="1">
        <v>45062</v>
      </c>
      <c r="P62" t="s">
        <v>40</v>
      </c>
      <c r="Q62">
        <v>231685</v>
      </c>
      <c r="R62">
        <v>63129386612</v>
      </c>
      <c r="S62">
        <v>1.24</v>
      </c>
      <c r="T62">
        <v>30</v>
      </c>
      <c r="U62">
        <v>0</v>
      </c>
      <c r="V62" t="s">
        <v>41</v>
      </c>
      <c r="W62" t="s">
        <v>42</v>
      </c>
      <c r="X62">
        <v>1.1000000000000001</v>
      </c>
      <c r="Y62">
        <v>0.11</v>
      </c>
      <c r="Z62">
        <v>10</v>
      </c>
      <c r="AA62">
        <v>1.9</v>
      </c>
      <c r="AB62">
        <v>1.1000000000000001</v>
      </c>
      <c r="AD62">
        <v>40.92</v>
      </c>
      <c r="AE62">
        <v>41</v>
      </c>
      <c r="AF62">
        <v>86</v>
      </c>
      <c r="AG62">
        <v>4682.4187745201698</v>
      </c>
      <c r="AH62">
        <v>54.446729936281102</v>
      </c>
      <c r="AI62">
        <v>21.523330906913898</v>
      </c>
      <c r="AJ62">
        <v>10.601212246372199</v>
      </c>
      <c r="AK62">
        <v>116.035384557247</v>
      </c>
      <c r="AL62">
        <f t="shared" si="0"/>
        <v>0.3305652477097043</v>
      </c>
      <c r="AM62">
        <v>0.10088891223410658</v>
      </c>
    </row>
    <row r="63" spans="1:39" x14ac:dyDescent="0.3">
      <c r="A63">
        <v>6312924011</v>
      </c>
      <c r="B63" t="s">
        <v>36</v>
      </c>
      <c r="C63" t="s">
        <v>37</v>
      </c>
      <c r="D63">
        <v>63</v>
      </c>
      <c r="E63">
        <v>129</v>
      </c>
      <c r="F63">
        <v>2401</v>
      </c>
      <c r="G63">
        <v>1</v>
      </c>
      <c r="H63" t="s">
        <v>45</v>
      </c>
      <c r="I63">
        <v>4326</v>
      </c>
      <c r="J63">
        <v>0.94809348701748597</v>
      </c>
      <c r="K63" t="s">
        <v>46</v>
      </c>
      <c r="L63">
        <v>106404354</v>
      </c>
      <c r="M63" s="1">
        <v>45014</v>
      </c>
      <c r="N63" s="1">
        <v>45035</v>
      </c>
      <c r="O63" s="1">
        <v>45062</v>
      </c>
      <c r="P63" t="s">
        <v>40</v>
      </c>
      <c r="Q63">
        <v>231639</v>
      </c>
      <c r="R63">
        <v>6312924011</v>
      </c>
      <c r="S63">
        <v>1.2</v>
      </c>
      <c r="T63">
        <v>30</v>
      </c>
      <c r="U63">
        <v>0</v>
      </c>
      <c r="V63" t="s">
        <v>41</v>
      </c>
      <c r="W63">
        <v>0.1</v>
      </c>
      <c r="X63">
        <v>1.6</v>
      </c>
      <c r="Y63">
        <v>0.15</v>
      </c>
      <c r="Z63">
        <v>10</v>
      </c>
      <c r="AA63">
        <v>2.6</v>
      </c>
      <c r="AB63">
        <v>1.5</v>
      </c>
      <c r="AD63">
        <v>54</v>
      </c>
      <c r="AE63">
        <v>54</v>
      </c>
      <c r="AF63">
        <v>94</v>
      </c>
      <c r="AG63">
        <v>5300.82331470392</v>
      </c>
      <c r="AH63">
        <v>56.391737390467199</v>
      </c>
      <c r="AI63">
        <v>7.38652317966877</v>
      </c>
      <c r="AJ63">
        <v>35.065374365359801</v>
      </c>
      <c r="AK63">
        <v>80.983934664394695</v>
      </c>
      <c r="AL63">
        <f t="shared" si="0"/>
        <v>4.4291433156799981E-2</v>
      </c>
      <c r="AM63">
        <v>0.10088891223410658</v>
      </c>
    </row>
    <row r="64" spans="1:39" x14ac:dyDescent="0.3">
      <c r="A64">
        <v>6312924012</v>
      </c>
      <c r="B64" t="s">
        <v>36</v>
      </c>
      <c r="C64" t="s">
        <v>37</v>
      </c>
      <c r="D64">
        <v>63</v>
      </c>
      <c r="E64">
        <v>129</v>
      </c>
      <c r="F64">
        <v>2401</v>
      </c>
      <c r="G64">
        <v>2</v>
      </c>
      <c r="H64" t="s">
        <v>45</v>
      </c>
      <c r="I64">
        <v>4326</v>
      </c>
      <c r="J64">
        <v>0.98228612451207498</v>
      </c>
      <c r="K64" t="s">
        <v>46</v>
      </c>
      <c r="L64">
        <v>106404354</v>
      </c>
      <c r="M64" s="1">
        <v>45014</v>
      </c>
      <c r="N64" s="1">
        <v>45035</v>
      </c>
      <c r="O64" s="1">
        <v>45062</v>
      </c>
      <c r="P64" t="s">
        <v>40</v>
      </c>
      <c r="Q64">
        <v>231640</v>
      </c>
      <c r="R64">
        <v>6312924012</v>
      </c>
      <c r="S64">
        <v>1.17</v>
      </c>
      <c r="T64">
        <v>30</v>
      </c>
      <c r="U64">
        <v>0</v>
      </c>
      <c r="V64" t="s">
        <v>41</v>
      </c>
      <c r="W64" t="s">
        <v>42</v>
      </c>
      <c r="X64">
        <v>1.6</v>
      </c>
      <c r="Y64">
        <v>0.14000000000000001</v>
      </c>
      <c r="Z64">
        <v>11</v>
      </c>
      <c r="AA64">
        <v>2.8</v>
      </c>
      <c r="AB64">
        <v>1.6</v>
      </c>
      <c r="AD64">
        <v>56.159999999999897</v>
      </c>
      <c r="AE64">
        <v>56</v>
      </c>
      <c r="AF64">
        <v>93</v>
      </c>
      <c r="AG64">
        <v>4942.0661994143902</v>
      </c>
      <c r="AH64">
        <v>53.1404967678966</v>
      </c>
      <c r="AI64">
        <v>6.7136689192316199</v>
      </c>
      <c r="AJ64">
        <v>38.643586232612002</v>
      </c>
      <c r="AK64">
        <v>74.453919339297002</v>
      </c>
      <c r="AL64">
        <f t="shared" si="0"/>
        <v>5.3766083192722622E-2</v>
      </c>
      <c r="AM64">
        <v>0.10088891223410658</v>
      </c>
    </row>
    <row r="65" spans="1:39" x14ac:dyDescent="0.3">
      <c r="A65">
        <v>6312924013</v>
      </c>
      <c r="B65" t="s">
        <v>36</v>
      </c>
      <c r="C65" t="s">
        <v>37</v>
      </c>
      <c r="D65">
        <v>63</v>
      </c>
      <c r="E65">
        <v>129</v>
      </c>
      <c r="F65">
        <v>2401</v>
      </c>
      <c r="G65">
        <v>3</v>
      </c>
      <c r="H65" t="s">
        <v>45</v>
      </c>
      <c r="I65">
        <v>4326</v>
      </c>
      <c r="J65">
        <v>1.0089000905666501</v>
      </c>
      <c r="K65" t="s">
        <v>46</v>
      </c>
      <c r="L65">
        <v>106404354</v>
      </c>
      <c r="M65" s="1">
        <v>45014</v>
      </c>
      <c r="N65" s="1">
        <v>45035</v>
      </c>
      <c r="O65" s="1">
        <v>45062</v>
      </c>
      <c r="P65" t="s">
        <v>40</v>
      </c>
      <c r="Q65">
        <v>231641</v>
      </c>
      <c r="R65">
        <v>6312924013</v>
      </c>
      <c r="S65">
        <v>1.17</v>
      </c>
      <c r="T65">
        <v>30</v>
      </c>
      <c r="U65">
        <v>0</v>
      </c>
      <c r="V65" t="s">
        <v>41</v>
      </c>
      <c r="W65" t="s">
        <v>42</v>
      </c>
      <c r="X65">
        <v>2</v>
      </c>
      <c r="Y65">
        <v>0.16</v>
      </c>
      <c r="Z65">
        <v>13</v>
      </c>
      <c r="AA65">
        <v>3.4</v>
      </c>
      <c r="AB65">
        <v>2</v>
      </c>
      <c r="AD65">
        <v>70.2</v>
      </c>
      <c r="AE65">
        <v>70</v>
      </c>
      <c r="AF65">
        <v>110</v>
      </c>
      <c r="AG65">
        <v>6965.2716159887405</v>
      </c>
      <c r="AH65">
        <v>63.320651054443097</v>
      </c>
      <c r="AI65">
        <v>3.5883783520273602</v>
      </c>
      <c r="AJ65">
        <v>54.998897292546602</v>
      </c>
      <c r="AK65">
        <v>71.954959030710199</v>
      </c>
      <c r="AL65">
        <f t="shared" si="0"/>
        <v>9.799642372588184E-2</v>
      </c>
      <c r="AM65">
        <v>0.10088891223410658</v>
      </c>
    </row>
    <row r="66" spans="1:39" x14ac:dyDescent="0.3">
      <c r="A66">
        <v>6312924014</v>
      </c>
      <c r="B66" t="s">
        <v>36</v>
      </c>
      <c r="C66" t="s">
        <v>37</v>
      </c>
      <c r="D66">
        <v>63</v>
      </c>
      <c r="E66">
        <v>129</v>
      </c>
      <c r="F66">
        <v>2401</v>
      </c>
      <c r="G66">
        <v>4</v>
      </c>
      <c r="H66" t="s">
        <v>45</v>
      </c>
      <c r="I66">
        <v>4326</v>
      </c>
      <c r="J66">
        <v>1.0065318149150699</v>
      </c>
      <c r="K66" t="s">
        <v>46</v>
      </c>
      <c r="L66">
        <v>106404354</v>
      </c>
      <c r="M66" s="1">
        <v>45014</v>
      </c>
      <c r="N66" s="1">
        <v>45035</v>
      </c>
      <c r="O66" s="1">
        <v>45062</v>
      </c>
      <c r="P66" t="s">
        <v>40</v>
      </c>
      <c r="Q66">
        <v>231642</v>
      </c>
      <c r="R66">
        <v>6312924014</v>
      </c>
      <c r="S66">
        <v>1.18</v>
      </c>
      <c r="T66">
        <v>30</v>
      </c>
      <c r="U66">
        <v>0</v>
      </c>
      <c r="V66" t="s">
        <v>41</v>
      </c>
      <c r="W66" t="s">
        <v>42</v>
      </c>
      <c r="X66">
        <v>1.7</v>
      </c>
      <c r="Y66">
        <v>0.2</v>
      </c>
      <c r="Z66">
        <v>9</v>
      </c>
      <c r="AA66">
        <v>2.9</v>
      </c>
      <c r="AB66">
        <v>1.7</v>
      </c>
      <c r="AD66">
        <v>60.18</v>
      </c>
      <c r="AE66">
        <v>60</v>
      </c>
      <c r="AF66">
        <v>98</v>
      </c>
      <c r="AG66">
        <v>5721.2628179994399</v>
      </c>
      <c r="AH66">
        <v>58.380232836729</v>
      </c>
      <c r="AI66">
        <v>4.8058659956736403</v>
      </c>
      <c r="AJ66">
        <v>45.984928938628201</v>
      </c>
      <c r="AK66">
        <v>70.316629556408103</v>
      </c>
      <c r="AL66">
        <f t="shared" ref="AL66:AL81" si="1">ABS(AD66-AH66)/AD66</f>
        <v>2.9906400187288129E-2</v>
      </c>
      <c r="AM66">
        <v>0.10088891223410658</v>
      </c>
    </row>
    <row r="67" spans="1:39" x14ac:dyDescent="0.3">
      <c r="A67">
        <v>6312924016</v>
      </c>
      <c r="B67" t="s">
        <v>36</v>
      </c>
      <c r="C67" t="s">
        <v>37</v>
      </c>
      <c r="D67">
        <v>63</v>
      </c>
      <c r="E67">
        <v>129</v>
      </c>
      <c r="F67">
        <v>2401</v>
      </c>
      <c r="G67">
        <v>6</v>
      </c>
      <c r="H67" t="s">
        <v>45</v>
      </c>
      <c r="I67">
        <v>4326</v>
      </c>
      <c r="J67">
        <v>0.98546781442657205</v>
      </c>
      <c r="K67" t="s">
        <v>46</v>
      </c>
      <c r="L67">
        <v>106404354</v>
      </c>
      <c r="M67" s="1">
        <v>45014</v>
      </c>
      <c r="N67" s="1">
        <v>45035</v>
      </c>
      <c r="O67" s="1">
        <v>45062</v>
      </c>
      <c r="P67" t="s">
        <v>40</v>
      </c>
      <c r="Q67">
        <v>231644</v>
      </c>
      <c r="R67">
        <v>6312924016</v>
      </c>
      <c r="S67">
        <v>1.2</v>
      </c>
      <c r="T67">
        <v>30</v>
      </c>
      <c r="U67">
        <v>0</v>
      </c>
      <c r="V67" t="s">
        <v>41</v>
      </c>
      <c r="W67" t="s">
        <v>42</v>
      </c>
      <c r="X67">
        <v>1.3</v>
      </c>
      <c r="Y67">
        <v>0.14000000000000001</v>
      </c>
      <c r="Z67">
        <v>9</v>
      </c>
      <c r="AA67">
        <v>2.2999999999999998</v>
      </c>
      <c r="AB67">
        <v>1.3</v>
      </c>
      <c r="AD67">
        <v>46.799999999999898</v>
      </c>
      <c r="AE67">
        <v>47</v>
      </c>
      <c r="AF67">
        <v>107</v>
      </c>
      <c r="AG67">
        <v>5178.18436404984</v>
      </c>
      <c r="AH67">
        <v>48.394246392989103</v>
      </c>
      <c r="AI67">
        <v>5.1548972699359803</v>
      </c>
      <c r="AJ67">
        <v>41.398908719822899</v>
      </c>
      <c r="AK67">
        <v>72.491023320204604</v>
      </c>
      <c r="AL67">
        <f t="shared" si="1"/>
        <v>3.4065093867290792E-2</v>
      </c>
      <c r="AM67">
        <v>0.10088891223410658</v>
      </c>
    </row>
    <row r="68" spans="1:39" x14ac:dyDescent="0.3">
      <c r="A68">
        <v>6312924017</v>
      </c>
      <c r="B68" t="s">
        <v>36</v>
      </c>
      <c r="C68" t="s">
        <v>37</v>
      </c>
      <c r="D68">
        <v>63</v>
      </c>
      <c r="E68">
        <v>129</v>
      </c>
      <c r="F68">
        <v>2401</v>
      </c>
      <c r="G68">
        <v>7</v>
      </c>
      <c r="H68" t="s">
        <v>45</v>
      </c>
      <c r="I68">
        <v>4326</v>
      </c>
      <c r="J68">
        <v>1.0088997964214499</v>
      </c>
      <c r="K68" t="s">
        <v>46</v>
      </c>
      <c r="L68">
        <v>106404354</v>
      </c>
      <c r="M68" s="1">
        <v>45014</v>
      </c>
      <c r="N68" s="1">
        <v>45035</v>
      </c>
      <c r="O68" s="1">
        <v>45062</v>
      </c>
      <c r="P68" t="s">
        <v>40</v>
      </c>
      <c r="Q68">
        <v>231645</v>
      </c>
      <c r="R68">
        <v>6312924017</v>
      </c>
      <c r="S68">
        <v>1.1499999999999999</v>
      </c>
      <c r="T68">
        <v>30</v>
      </c>
      <c r="U68">
        <v>0</v>
      </c>
      <c r="V68" t="s">
        <v>41</v>
      </c>
      <c r="W68" t="s">
        <v>42</v>
      </c>
      <c r="X68">
        <v>1.6</v>
      </c>
      <c r="Y68">
        <v>0.13</v>
      </c>
      <c r="Z68">
        <v>12</v>
      </c>
      <c r="AA68">
        <v>2.7</v>
      </c>
      <c r="AB68">
        <v>1.5</v>
      </c>
      <c r="AD68">
        <v>51.75</v>
      </c>
      <c r="AE68">
        <v>52</v>
      </c>
      <c r="AF68">
        <v>100</v>
      </c>
      <c r="AG68">
        <v>5575.0761418488</v>
      </c>
      <c r="AH68">
        <v>55.750761418487997</v>
      </c>
      <c r="AI68">
        <v>5.4304683552424997</v>
      </c>
      <c r="AJ68">
        <v>42.6179736345943</v>
      </c>
      <c r="AK68">
        <v>64.150385281257897</v>
      </c>
      <c r="AL68">
        <f t="shared" si="1"/>
        <v>7.7309399391072411E-2</v>
      </c>
      <c r="AM68">
        <v>0.10088891223410658</v>
      </c>
    </row>
    <row r="69" spans="1:39" x14ac:dyDescent="0.3">
      <c r="A69">
        <v>6312924018</v>
      </c>
      <c r="B69" t="s">
        <v>36</v>
      </c>
      <c r="C69" t="s">
        <v>37</v>
      </c>
      <c r="D69">
        <v>63</v>
      </c>
      <c r="E69">
        <v>129</v>
      </c>
      <c r="F69">
        <v>2401</v>
      </c>
      <c r="G69">
        <v>8</v>
      </c>
      <c r="H69" t="s">
        <v>45</v>
      </c>
      <c r="I69">
        <v>4326</v>
      </c>
      <c r="J69">
        <v>1.00890037129744</v>
      </c>
      <c r="K69" t="s">
        <v>46</v>
      </c>
      <c r="L69">
        <v>106404354</v>
      </c>
      <c r="M69" s="1">
        <v>45014</v>
      </c>
      <c r="N69" s="1">
        <v>45035</v>
      </c>
      <c r="O69" s="1">
        <v>45062</v>
      </c>
      <c r="P69" t="s">
        <v>40</v>
      </c>
      <c r="Q69">
        <v>231646</v>
      </c>
      <c r="R69">
        <v>6312924018</v>
      </c>
      <c r="S69">
        <v>1.1599999999999999</v>
      </c>
      <c r="T69">
        <v>30</v>
      </c>
      <c r="U69">
        <v>0</v>
      </c>
      <c r="V69" t="s">
        <v>41</v>
      </c>
      <c r="W69" t="s">
        <v>42</v>
      </c>
      <c r="X69">
        <v>1.9</v>
      </c>
      <c r="Y69">
        <v>0.17</v>
      </c>
      <c r="Z69">
        <v>11</v>
      </c>
      <c r="AA69">
        <v>3.2</v>
      </c>
      <c r="AB69">
        <v>1.8</v>
      </c>
      <c r="AD69">
        <v>62.64</v>
      </c>
      <c r="AE69">
        <v>63</v>
      </c>
      <c r="AF69">
        <v>100</v>
      </c>
      <c r="AG69">
        <v>6080.9187581005399</v>
      </c>
      <c r="AH69">
        <v>60.809187581005403</v>
      </c>
      <c r="AI69">
        <v>4.1760917460118696</v>
      </c>
      <c r="AJ69">
        <v>49.659987302949197</v>
      </c>
      <c r="AK69">
        <v>69.458812982675894</v>
      </c>
      <c r="AL69">
        <f t="shared" si="1"/>
        <v>2.9227529038866492E-2</v>
      </c>
      <c r="AM69">
        <v>0.10088891223410658</v>
      </c>
    </row>
    <row r="70" spans="1:39" x14ac:dyDescent="0.3">
      <c r="A70">
        <v>63129240111</v>
      </c>
      <c r="B70" t="s">
        <v>36</v>
      </c>
      <c r="C70" t="s">
        <v>37</v>
      </c>
      <c r="D70">
        <v>63</v>
      </c>
      <c r="E70">
        <v>129</v>
      </c>
      <c r="F70">
        <v>2401</v>
      </c>
      <c r="G70">
        <v>11</v>
      </c>
      <c r="H70" t="s">
        <v>45</v>
      </c>
      <c r="I70">
        <v>4326</v>
      </c>
      <c r="J70">
        <v>0.98636584488870604</v>
      </c>
      <c r="K70" t="s">
        <v>46</v>
      </c>
      <c r="L70">
        <v>106404354</v>
      </c>
      <c r="M70" s="1">
        <v>45014</v>
      </c>
      <c r="N70" s="1">
        <v>45035</v>
      </c>
      <c r="O70" s="1">
        <v>45062</v>
      </c>
      <c r="P70" t="s">
        <v>40</v>
      </c>
      <c r="Q70">
        <v>231649</v>
      </c>
      <c r="R70">
        <v>63129240111</v>
      </c>
      <c r="S70">
        <v>1.1399999999999999</v>
      </c>
      <c r="T70">
        <v>30</v>
      </c>
      <c r="U70">
        <v>0</v>
      </c>
      <c r="V70" t="s">
        <v>41</v>
      </c>
      <c r="W70" t="s">
        <v>42</v>
      </c>
      <c r="X70">
        <v>1.2</v>
      </c>
      <c r="Y70">
        <v>0.12</v>
      </c>
      <c r="Z70">
        <v>9</v>
      </c>
      <c r="AA70">
        <v>1.9</v>
      </c>
      <c r="AB70">
        <v>1.1000000000000001</v>
      </c>
      <c r="AD70">
        <v>37.619999999999898</v>
      </c>
      <c r="AE70">
        <v>38</v>
      </c>
      <c r="AF70">
        <v>90</v>
      </c>
      <c r="AG70">
        <v>3910.6347891144101</v>
      </c>
      <c r="AH70">
        <v>43.451497656826803</v>
      </c>
      <c r="AI70">
        <v>6.2022285885268502</v>
      </c>
      <c r="AJ70">
        <v>35.179415371087103</v>
      </c>
      <c r="AK70">
        <v>69.414352114421405</v>
      </c>
      <c r="AL70">
        <f t="shared" si="1"/>
        <v>0.1550105703569091</v>
      </c>
      <c r="AM70">
        <v>0.10088891223410658</v>
      </c>
    </row>
    <row r="71" spans="1:39" x14ac:dyDescent="0.3">
      <c r="A71">
        <v>63129240112</v>
      </c>
      <c r="B71" t="s">
        <v>36</v>
      </c>
      <c r="C71" t="s">
        <v>37</v>
      </c>
      <c r="D71">
        <v>63</v>
      </c>
      <c r="E71">
        <v>129</v>
      </c>
      <c r="F71">
        <v>2401</v>
      </c>
      <c r="G71">
        <v>12</v>
      </c>
      <c r="H71" t="s">
        <v>45</v>
      </c>
      <c r="I71">
        <v>4326</v>
      </c>
      <c r="J71">
        <v>1.00889946840703</v>
      </c>
      <c r="K71" t="s">
        <v>46</v>
      </c>
      <c r="L71">
        <v>106404354</v>
      </c>
      <c r="M71" s="1">
        <v>45014</v>
      </c>
      <c r="N71" s="1">
        <v>45035</v>
      </c>
      <c r="O71" s="1">
        <v>45062</v>
      </c>
      <c r="P71" t="s">
        <v>40</v>
      </c>
      <c r="Q71">
        <v>231650</v>
      </c>
      <c r="R71">
        <v>63129240112</v>
      </c>
      <c r="S71">
        <v>1.2</v>
      </c>
      <c r="T71">
        <v>30</v>
      </c>
      <c r="U71">
        <v>0</v>
      </c>
      <c r="V71" t="s">
        <v>41</v>
      </c>
      <c r="W71" t="s">
        <v>42</v>
      </c>
      <c r="X71">
        <v>1.6</v>
      </c>
      <c r="Y71">
        <v>0.13</v>
      </c>
      <c r="Z71">
        <v>12</v>
      </c>
      <c r="AA71">
        <v>2.7</v>
      </c>
      <c r="AB71">
        <v>1.5</v>
      </c>
      <c r="AD71">
        <v>54</v>
      </c>
      <c r="AE71">
        <v>54</v>
      </c>
      <c r="AF71">
        <v>99</v>
      </c>
      <c r="AG71">
        <v>5478.8692518652897</v>
      </c>
      <c r="AH71">
        <v>55.342113655204898</v>
      </c>
      <c r="AI71">
        <v>3.43451965455623</v>
      </c>
      <c r="AJ71">
        <v>46.238224193396</v>
      </c>
      <c r="AK71">
        <v>62.0887728578791</v>
      </c>
      <c r="AL71">
        <f t="shared" si="1"/>
        <v>2.4853956577868479E-2</v>
      </c>
      <c r="AM71">
        <v>0.10088891223410658</v>
      </c>
    </row>
    <row r="72" spans="1:39" x14ac:dyDescent="0.3">
      <c r="A72">
        <v>63129240113</v>
      </c>
      <c r="B72" t="s">
        <v>36</v>
      </c>
      <c r="C72" t="s">
        <v>37</v>
      </c>
      <c r="D72">
        <v>63</v>
      </c>
      <c r="E72">
        <v>129</v>
      </c>
      <c r="F72">
        <v>2401</v>
      </c>
      <c r="G72">
        <v>13</v>
      </c>
      <c r="H72" t="s">
        <v>45</v>
      </c>
      <c r="I72">
        <v>4326</v>
      </c>
      <c r="J72">
        <v>0.99863319140451901</v>
      </c>
      <c r="K72" t="s">
        <v>46</v>
      </c>
      <c r="L72">
        <v>106404354</v>
      </c>
      <c r="M72" s="1">
        <v>45014</v>
      </c>
      <c r="N72" s="1">
        <v>45035</v>
      </c>
      <c r="O72" s="1">
        <v>45062</v>
      </c>
      <c r="P72" t="s">
        <v>40</v>
      </c>
      <c r="Q72">
        <v>231651</v>
      </c>
      <c r="R72">
        <v>63129240113</v>
      </c>
      <c r="S72">
        <v>1.19</v>
      </c>
      <c r="T72">
        <v>30</v>
      </c>
      <c r="U72">
        <v>0</v>
      </c>
      <c r="V72" t="s">
        <v>41</v>
      </c>
      <c r="W72" t="s">
        <v>42</v>
      </c>
      <c r="X72">
        <v>1.4</v>
      </c>
      <c r="Y72">
        <v>0.13</v>
      </c>
      <c r="Z72">
        <v>10</v>
      </c>
      <c r="AA72">
        <v>2.2999999999999998</v>
      </c>
      <c r="AB72">
        <v>1.3</v>
      </c>
      <c r="AD72">
        <v>46.409999999999897</v>
      </c>
      <c r="AE72">
        <v>46</v>
      </c>
      <c r="AF72">
        <v>95</v>
      </c>
      <c r="AG72">
        <v>4857.9726221382198</v>
      </c>
      <c r="AH72">
        <v>51.136553917244399</v>
      </c>
      <c r="AI72">
        <v>7.2030623125034703</v>
      </c>
      <c r="AJ72">
        <v>36.653615157093903</v>
      </c>
      <c r="AK72">
        <v>84.872121269529501</v>
      </c>
      <c r="AL72">
        <f t="shared" si="1"/>
        <v>0.101843437130888</v>
      </c>
      <c r="AM72">
        <v>0.10088891223410658</v>
      </c>
    </row>
    <row r="73" spans="1:39" x14ac:dyDescent="0.3">
      <c r="A73">
        <v>63129240114</v>
      </c>
      <c r="B73" t="s">
        <v>36</v>
      </c>
      <c r="C73" t="s">
        <v>37</v>
      </c>
      <c r="D73">
        <v>63</v>
      </c>
      <c r="E73">
        <v>129</v>
      </c>
      <c r="F73">
        <v>2401</v>
      </c>
      <c r="G73">
        <v>14</v>
      </c>
      <c r="H73" t="s">
        <v>45</v>
      </c>
      <c r="I73">
        <v>4326</v>
      </c>
      <c r="J73">
        <v>1.00890065833106</v>
      </c>
      <c r="K73" t="s">
        <v>46</v>
      </c>
      <c r="L73">
        <v>106404354</v>
      </c>
      <c r="M73" s="1">
        <v>45014</v>
      </c>
      <c r="N73" s="1">
        <v>45035</v>
      </c>
      <c r="O73" s="1">
        <v>45062</v>
      </c>
      <c r="P73" t="s">
        <v>40</v>
      </c>
      <c r="Q73">
        <v>231652</v>
      </c>
      <c r="R73">
        <v>63129240114</v>
      </c>
      <c r="S73">
        <v>1.17</v>
      </c>
      <c r="T73">
        <v>30</v>
      </c>
      <c r="U73">
        <v>0</v>
      </c>
      <c r="V73" t="s">
        <v>41</v>
      </c>
      <c r="W73" t="s">
        <v>42</v>
      </c>
      <c r="X73">
        <v>1.8</v>
      </c>
      <c r="Y73">
        <v>0.15</v>
      </c>
      <c r="Z73">
        <v>12</v>
      </c>
      <c r="AA73">
        <v>3.1</v>
      </c>
      <c r="AB73">
        <v>1.8</v>
      </c>
      <c r="AD73">
        <v>63.18</v>
      </c>
      <c r="AE73">
        <v>63</v>
      </c>
      <c r="AF73">
        <v>99</v>
      </c>
      <c r="AG73">
        <v>6202.7761107671904</v>
      </c>
      <c r="AH73">
        <v>62.6543041491636</v>
      </c>
      <c r="AI73">
        <v>3.6393750530653999</v>
      </c>
      <c r="AJ73">
        <v>48.917823898707603</v>
      </c>
      <c r="AK73">
        <v>71.2749345687795</v>
      </c>
      <c r="AL73">
        <f t="shared" si="1"/>
        <v>8.3206054263437693E-3</v>
      </c>
      <c r="AM73">
        <v>0.10088891223410658</v>
      </c>
    </row>
    <row r="74" spans="1:39" x14ac:dyDescent="0.3">
      <c r="A74">
        <v>63129240116</v>
      </c>
      <c r="B74" t="s">
        <v>36</v>
      </c>
      <c r="C74" t="s">
        <v>37</v>
      </c>
      <c r="D74">
        <v>63</v>
      </c>
      <c r="E74">
        <v>129</v>
      </c>
      <c r="F74">
        <v>2401</v>
      </c>
      <c r="G74">
        <v>16</v>
      </c>
      <c r="H74" t="s">
        <v>45</v>
      </c>
      <c r="I74">
        <v>4326</v>
      </c>
      <c r="J74">
        <v>0.98689051570236297</v>
      </c>
      <c r="K74" t="s">
        <v>46</v>
      </c>
      <c r="L74">
        <v>106404354</v>
      </c>
      <c r="M74" s="1">
        <v>45014</v>
      </c>
      <c r="N74" s="1">
        <v>45035</v>
      </c>
      <c r="O74" s="1">
        <v>45062</v>
      </c>
      <c r="P74" t="s">
        <v>40</v>
      </c>
      <c r="Q74">
        <v>231654</v>
      </c>
      <c r="R74">
        <v>63129240116</v>
      </c>
      <c r="S74">
        <v>1.23</v>
      </c>
      <c r="T74">
        <v>30</v>
      </c>
      <c r="U74">
        <v>0</v>
      </c>
      <c r="V74" t="s">
        <v>41</v>
      </c>
      <c r="W74" t="s">
        <v>42</v>
      </c>
      <c r="X74">
        <v>1.1000000000000001</v>
      </c>
      <c r="Y74">
        <v>0.11</v>
      </c>
      <c r="Z74">
        <v>9</v>
      </c>
      <c r="AA74">
        <v>1.8</v>
      </c>
      <c r="AB74">
        <v>1</v>
      </c>
      <c r="AD74">
        <v>36.899999999999899</v>
      </c>
      <c r="AE74">
        <v>37</v>
      </c>
      <c r="AF74">
        <v>99</v>
      </c>
      <c r="AG74">
        <v>4295.4672713095697</v>
      </c>
      <c r="AH74">
        <v>43.388558296056303</v>
      </c>
      <c r="AI74">
        <v>7.9454335825433597</v>
      </c>
      <c r="AJ74">
        <v>33.199657662865</v>
      </c>
      <c r="AK74">
        <v>75.012975749623493</v>
      </c>
      <c r="AL74">
        <f t="shared" si="1"/>
        <v>0.17584168824001142</v>
      </c>
      <c r="AM74">
        <v>0.10088891223410658</v>
      </c>
    </row>
    <row r="75" spans="1:39" x14ac:dyDescent="0.3">
      <c r="A75">
        <v>63129240117</v>
      </c>
      <c r="B75" t="s">
        <v>36</v>
      </c>
      <c r="C75" t="s">
        <v>37</v>
      </c>
      <c r="D75">
        <v>63</v>
      </c>
      <c r="E75">
        <v>129</v>
      </c>
      <c r="F75">
        <v>2401</v>
      </c>
      <c r="G75">
        <v>17</v>
      </c>
      <c r="H75" t="s">
        <v>45</v>
      </c>
      <c r="I75">
        <v>4326</v>
      </c>
      <c r="J75">
        <v>1.00889915553331</v>
      </c>
      <c r="K75" t="s">
        <v>46</v>
      </c>
      <c r="L75">
        <v>106404354</v>
      </c>
      <c r="M75" s="1">
        <v>45014</v>
      </c>
      <c r="N75" s="1">
        <v>45035</v>
      </c>
      <c r="O75" s="1">
        <v>45062</v>
      </c>
      <c r="P75" t="s">
        <v>40</v>
      </c>
      <c r="Q75">
        <v>231655</v>
      </c>
      <c r="R75">
        <v>63129240117</v>
      </c>
      <c r="S75">
        <v>1.22</v>
      </c>
      <c r="T75">
        <v>30</v>
      </c>
      <c r="U75">
        <v>0</v>
      </c>
      <c r="V75" t="s">
        <v>41</v>
      </c>
      <c r="W75" t="s">
        <v>42</v>
      </c>
      <c r="X75">
        <v>1.2</v>
      </c>
      <c r="Y75">
        <v>0.12</v>
      </c>
      <c r="Z75">
        <v>10</v>
      </c>
      <c r="AA75">
        <v>2</v>
      </c>
      <c r="AB75">
        <v>1.2</v>
      </c>
      <c r="AD75">
        <v>43.92</v>
      </c>
      <c r="AE75">
        <v>44</v>
      </c>
      <c r="AF75">
        <v>99</v>
      </c>
      <c r="AG75">
        <v>4087.7328823057301</v>
      </c>
      <c r="AH75">
        <v>41.290231134401303</v>
      </c>
      <c r="AI75">
        <v>6.75035109778395</v>
      </c>
      <c r="AJ75">
        <v>27.8088279650689</v>
      </c>
      <c r="AK75">
        <v>57.325623180895903</v>
      </c>
      <c r="AL75">
        <f t="shared" si="1"/>
        <v>5.9876340291409348E-2</v>
      </c>
      <c r="AM75">
        <v>0.10088891223410658</v>
      </c>
    </row>
    <row r="76" spans="1:39" x14ac:dyDescent="0.3">
      <c r="A76">
        <v>63129240118</v>
      </c>
      <c r="B76" t="s">
        <v>36</v>
      </c>
      <c r="C76" t="s">
        <v>37</v>
      </c>
      <c r="D76">
        <v>63</v>
      </c>
      <c r="E76">
        <v>129</v>
      </c>
      <c r="F76">
        <v>2401</v>
      </c>
      <c r="G76">
        <v>18</v>
      </c>
      <c r="H76" t="s">
        <v>45</v>
      </c>
      <c r="I76">
        <v>4326</v>
      </c>
      <c r="J76">
        <v>1.00516042622449</v>
      </c>
      <c r="K76" t="s">
        <v>46</v>
      </c>
      <c r="L76">
        <v>106404354</v>
      </c>
      <c r="M76" s="1">
        <v>45014</v>
      </c>
      <c r="N76" s="1">
        <v>45035</v>
      </c>
      <c r="O76" s="1">
        <v>45062</v>
      </c>
      <c r="P76" t="s">
        <v>40</v>
      </c>
      <c r="Q76">
        <v>231656</v>
      </c>
      <c r="R76">
        <v>63129240118</v>
      </c>
      <c r="S76">
        <v>1.22</v>
      </c>
      <c r="T76">
        <v>30</v>
      </c>
      <c r="U76">
        <v>0</v>
      </c>
      <c r="V76" t="s">
        <v>41</v>
      </c>
      <c r="W76" t="s">
        <v>42</v>
      </c>
      <c r="X76">
        <v>1.6</v>
      </c>
      <c r="Y76">
        <v>0.14000000000000001</v>
      </c>
      <c r="Z76">
        <v>11</v>
      </c>
      <c r="AA76">
        <v>2.7</v>
      </c>
      <c r="AB76">
        <v>1.6</v>
      </c>
      <c r="AD76">
        <v>58.56</v>
      </c>
      <c r="AE76">
        <v>59</v>
      </c>
      <c r="AF76">
        <v>98</v>
      </c>
      <c r="AG76">
        <v>4911.9911585218597</v>
      </c>
      <c r="AH76">
        <v>50.122358760427197</v>
      </c>
      <c r="AI76">
        <v>7.2943011300296101</v>
      </c>
      <c r="AJ76">
        <v>35.374630394454996</v>
      </c>
      <c r="AK76">
        <v>66.944451118113605</v>
      </c>
      <c r="AL76">
        <f t="shared" si="1"/>
        <v>0.1440854036812296</v>
      </c>
      <c r="AM76">
        <v>0.10088891223410658</v>
      </c>
    </row>
    <row r="77" spans="1:39" x14ac:dyDescent="0.3">
      <c r="A77">
        <v>63129240119</v>
      </c>
      <c r="B77" t="s">
        <v>36</v>
      </c>
      <c r="C77" t="s">
        <v>37</v>
      </c>
      <c r="D77">
        <v>63</v>
      </c>
      <c r="E77">
        <v>129</v>
      </c>
      <c r="F77">
        <v>2401</v>
      </c>
      <c r="G77">
        <v>19</v>
      </c>
      <c r="H77" t="s">
        <v>45</v>
      </c>
      <c r="I77">
        <v>4326</v>
      </c>
      <c r="J77">
        <v>1.0089003698855601</v>
      </c>
      <c r="K77" t="s">
        <v>46</v>
      </c>
      <c r="L77">
        <v>106404354</v>
      </c>
      <c r="M77" s="1">
        <v>45014</v>
      </c>
      <c r="N77" s="1">
        <v>45035</v>
      </c>
      <c r="O77" s="1">
        <v>45062</v>
      </c>
      <c r="P77" t="s">
        <v>40</v>
      </c>
      <c r="Q77">
        <v>231657</v>
      </c>
      <c r="R77">
        <v>63129240119</v>
      </c>
      <c r="S77">
        <v>1.22</v>
      </c>
      <c r="T77">
        <v>30</v>
      </c>
      <c r="U77">
        <v>0</v>
      </c>
      <c r="V77" t="s">
        <v>41</v>
      </c>
      <c r="W77" t="s">
        <v>42</v>
      </c>
      <c r="X77">
        <v>1.5</v>
      </c>
      <c r="Y77">
        <v>0.13</v>
      </c>
      <c r="Z77">
        <v>12</v>
      </c>
      <c r="AA77">
        <v>2.6</v>
      </c>
      <c r="AB77">
        <v>1.5</v>
      </c>
      <c r="AD77">
        <v>54.899999999999899</v>
      </c>
      <c r="AE77">
        <v>55</v>
      </c>
      <c r="AF77">
        <v>99</v>
      </c>
      <c r="AG77">
        <v>4937.3980254975804</v>
      </c>
      <c r="AH77">
        <v>49.8727073282584</v>
      </c>
      <c r="AI77">
        <v>7.6040071056233796</v>
      </c>
      <c r="AJ77">
        <v>36.380495449755898</v>
      </c>
      <c r="AK77">
        <v>64.916521270997293</v>
      </c>
      <c r="AL77">
        <f t="shared" si="1"/>
        <v>9.1571815514417274E-2</v>
      </c>
      <c r="AM77">
        <v>0.10088891223410658</v>
      </c>
    </row>
    <row r="78" spans="1:39" x14ac:dyDescent="0.3">
      <c r="A78">
        <v>63129240121</v>
      </c>
      <c r="B78" t="s">
        <v>36</v>
      </c>
      <c r="C78" t="s">
        <v>37</v>
      </c>
      <c r="D78">
        <v>63</v>
      </c>
      <c r="E78">
        <v>129</v>
      </c>
      <c r="F78">
        <v>2401</v>
      </c>
      <c r="G78">
        <v>21</v>
      </c>
      <c r="H78" t="s">
        <v>45</v>
      </c>
      <c r="I78">
        <v>4326</v>
      </c>
      <c r="J78">
        <v>0.98635605104677404</v>
      </c>
      <c r="K78" t="s">
        <v>46</v>
      </c>
      <c r="L78">
        <v>106404354</v>
      </c>
      <c r="M78" s="1">
        <v>45014</v>
      </c>
      <c r="N78" s="1">
        <v>45035</v>
      </c>
      <c r="O78" s="1">
        <v>45062</v>
      </c>
      <c r="P78" t="s">
        <v>40</v>
      </c>
      <c r="Q78">
        <v>231659</v>
      </c>
      <c r="R78">
        <v>63129240121</v>
      </c>
      <c r="S78">
        <v>1.2</v>
      </c>
      <c r="T78">
        <v>30</v>
      </c>
      <c r="U78">
        <v>0</v>
      </c>
      <c r="V78" t="s">
        <v>47</v>
      </c>
      <c r="W78">
        <v>0.2</v>
      </c>
      <c r="X78">
        <v>2.1</v>
      </c>
      <c r="Y78">
        <v>0.65</v>
      </c>
      <c r="Z78">
        <v>3</v>
      </c>
      <c r="AA78">
        <v>3.3</v>
      </c>
      <c r="AB78">
        <v>1.9</v>
      </c>
      <c r="AD78">
        <v>68.400000000000006</v>
      </c>
      <c r="AE78">
        <v>68</v>
      </c>
      <c r="AF78">
        <v>103</v>
      </c>
      <c r="AG78">
        <v>6284.4250398121803</v>
      </c>
      <c r="AH78">
        <v>61.0138353379823</v>
      </c>
      <c r="AI78">
        <v>5.8987378937889297</v>
      </c>
      <c r="AJ78">
        <v>45.975272237377098</v>
      </c>
      <c r="AK78">
        <v>76.116029475844996</v>
      </c>
      <c r="AL78">
        <f t="shared" si="1"/>
        <v>0.10798486347979101</v>
      </c>
      <c r="AM78">
        <v>0.10088891223410658</v>
      </c>
    </row>
    <row r="79" spans="1:39" x14ac:dyDescent="0.3">
      <c r="A79">
        <v>63129240122</v>
      </c>
      <c r="B79" t="s">
        <v>36</v>
      </c>
      <c r="C79" t="s">
        <v>37</v>
      </c>
      <c r="D79">
        <v>63</v>
      </c>
      <c r="E79">
        <v>129</v>
      </c>
      <c r="F79">
        <v>2401</v>
      </c>
      <c r="G79">
        <v>22</v>
      </c>
      <c r="H79" t="s">
        <v>45</v>
      </c>
      <c r="I79">
        <v>4326</v>
      </c>
      <c r="J79">
        <v>1.00889880242236</v>
      </c>
      <c r="K79" t="s">
        <v>46</v>
      </c>
      <c r="L79">
        <v>106404354</v>
      </c>
      <c r="M79" s="1">
        <v>45014</v>
      </c>
      <c r="N79" s="1">
        <v>45035</v>
      </c>
      <c r="O79" s="1">
        <v>45062</v>
      </c>
      <c r="P79" t="s">
        <v>40</v>
      </c>
      <c r="Q79">
        <v>231660</v>
      </c>
      <c r="R79">
        <v>63129240122</v>
      </c>
      <c r="S79">
        <v>1.2</v>
      </c>
      <c r="T79">
        <v>30</v>
      </c>
      <c r="U79">
        <v>0</v>
      </c>
      <c r="V79" t="s">
        <v>41</v>
      </c>
      <c r="W79" t="s">
        <v>42</v>
      </c>
      <c r="X79">
        <v>1</v>
      </c>
      <c r="Y79">
        <v>1.0900000000000001</v>
      </c>
      <c r="Z79">
        <v>1</v>
      </c>
      <c r="AA79">
        <v>1.7</v>
      </c>
      <c r="AB79">
        <v>1</v>
      </c>
      <c r="AD79">
        <v>36</v>
      </c>
      <c r="AE79">
        <v>36</v>
      </c>
      <c r="AF79">
        <v>110</v>
      </c>
      <c r="AG79">
        <v>4644.95196177254</v>
      </c>
      <c r="AH79">
        <v>42.226836016114</v>
      </c>
      <c r="AI79">
        <v>6.3346249148032401</v>
      </c>
      <c r="AJ79">
        <v>29.4102309719263</v>
      </c>
      <c r="AK79">
        <v>61.442511920361198</v>
      </c>
      <c r="AL79">
        <f t="shared" si="1"/>
        <v>0.17296766711427777</v>
      </c>
      <c r="AM79">
        <v>0.10088891223410658</v>
      </c>
    </row>
    <row r="80" spans="1:39" x14ac:dyDescent="0.3">
      <c r="A80">
        <v>63129240123</v>
      </c>
      <c r="B80" t="s">
        <v>36</v>
      </c>
      <c r="C80" t="s">
        <v>37</v>
      </c>
      <c r="D80">
        <v>63</v>
      </c>
      <c r="E80">
        <v>129</v>
      </c>
      <c r="F80">
        <v>2401</v>
      </c>
      <c r="G80">
        <v>23</v>
      </c>
      <c r="H80" t="s">
        <v>45</v>
      </c>
      <c r="I80">
        <v>4326</v>
      </c>
      <c r="J80">
        <v>1.0088993976071401</v>
      </c>
      <c r="K80" t="s">
        <v>46</v>
      </c>
      <c r="L80">
        <v>106404354</v>
      </c>
      <c r="M80" s="1">
        <v>45014</v>
      </c>
      <c r="N80" s="1">
        <v>45035</v>
      </c>
      <c r="O80" s="1">
        <v>45062</v>
      </c>
      <c r="P80" t="s">
        <v>40</v>
      </c>
      <c r="Q80">
        <v>231661</v>
      </c>
      <c r="R80">
        <v>63129240123</v>
      </c>
      <c r="S80">
        <v>1.2</v>
      </c>
      <c r="T80">
        <v>30</v>
      </c>
      <c r="U80">
        <v>0</v>
      </c>
      <c r="V80" t="s">
        <v>41</v>
      </c>
      <c r="W80" t="s">
        <v>42</v>
      </c>
      <c r="X80">
        <v>0.8</v>
      </c>
      <c r="Y80">
        <v>0.51</v>
      </c>
      <c r="Z80">
        <v>2</v>
      </c>
      <c r="AA80">
        <v>1.4</v>
      </c>
      <c r="AB80">
        <v>0.8</v>
      </c>
      <c r="AD80">
        <v>28.8</v>
      </c>
      <c r="AE80">
        <v>29</v>
      </c>
      <c r="AF80">
        <v>110</v>
      </c>
      <c r="AG80">
        <v>4013.8712362554602</v>
      </c>
      <c r="AH80">
        <v>36.4897385114133</v>
      </c>
      <c r="AI80">
        <v>4.0368245242373604</v>
      </c>
      <c r="AJ80">
        <v>28.492794950693199</v>
      </c>
      <c r="AK80">
        <v>45.810783717562799</v>
      </c>
      <c r="AL80">
        <f t="shared" si="1"/>
        <v>0.2670048094240729</v>
      </c>
      <c r="AM80">
        <v>0.10088891223410658</v>
      </c>
    </row>
    <row r="81" spans="1:39" x14ac:dyDescent="0.3">
      <c r="A81">
        <v>63129240124</v>
      </c>
      <c r="B81" t="s">
        <v>36</v>
      </c>
      <c r="C81" t="s">
        <v>37</v>
      </c>
      <c r="D81">
        <v>63</v>
      </c>
      <c r="E81">
        <v>129</v>
      </c>
      <c r="F81">
        <v>2401</v>
      </c>
      <c r="G81">
        <v>24</v>
      </c>
      <c r="H81" t="s">
        <v>45</v>
      </c>
      <c r="I81">
        <v>4326</v>
      </c>
      <c r="J81">
        <v>1.00889999330528</v>
      </c>
      <c r="K81" t="s">
        <v>46</v>
      </c>
      <c r="L81">
        <v>106404354</v>
      </c>
      <c r="M81" s="1">
        <v>45014</v>
      </c>
      <c r="N81" s="1">
        <v>45035</v>
      </c>
      <c r="O81" s="1">
        <v>45062</v>
      </c>
      <c r="P81" t="s">
        <v>40</v>
      </c>
      <c r="Q81">
        <v>231662</v>
      </c>
      <c r="R81">
        <v>63129240124</v>
      </c>
      <c r="S81">
        <v>1.22</v>
      </c>
      <c r="T81">
        <v>30</v>
      </c>
      <c r="U81">
        <v>0</v>
      </c>
      <c r="V81" t="s">
        <v>41</v>
      </c>
      <c r="W81" t="s">
        <v>42</v>
      </c>
      <c r="X81">
        <v>0.9</v>
      </c>
      <c r="Y81">
        <v>0.31</v>
      </c>
      <c r="Z81">
        <v>3</v>
      </c>
      <c r="AA81">
        <v>1.6</v>
      </c>
      <c r="AB81">
        <v>0.9</v>
      </c>
      <c r="AD81">
        <v>32.939999999999898</v>
      </c>
      <c r="AE81">
        <v>33</v>
      </c>
      <c r="AF81">
        <v>110</v>
      </c>
      <c r="AG81">
        <v>4191.3608408249202</v>
      </c>
      <c r="AH81">
        <v>38.103280371135703</v>
      </c>
      <c r="AI81">
        <v>4.6944932772340904</v>
      </c>
      <c r="AJ81">
        <v>26.1482743736528</v>
      </c>
      <c r="AK81">
        <v>50.077783445489601</v>
      </c>
      <c r="AL81">
        <f t="shared" si="1"/>
        <v>0.15674803798226536</v>
      </c>
      <c r="AM81">
        <v>0.10088891223410658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44bdd6bc5fd193fdddd68402d97f8fee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2ead1db8e5af058d0279f774a3420f5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f5b8274-46b8-4a8f-a999-a805dea4a360">
      <UserInfo>
        <DisplayName/>
        <AccountId xsi:nil="true"/>
        <AccountType/>
      </UserInfo>
    </SharedWithUsers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Props1.xml><?xml version="1.0" encoding="utf-8"?>
<ds:datastoreItem xmlns:ds="http://schemas.openxmlformats.org/officeDocument/2006/customXml" ds:itemID="{3BCADDCA-46FC-439D-AB33-0B1332DB74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CF0A73-AE89-4085-9FA4-FFE064FA230B}"/>
</file>

<file path=customXml/itemProps3.xml><?xml version="1.0" encoding="utf-8"?>
<ds:datastoreItem xmlns:ds="http://schemas.openxmlformats.org/officeDocument/2006/customXml" ds:itemID="{6E7D2909-ACEB-4D59-A906-BEAEC772F21E}">
  <ds:schemaRefs>
    <ds:schemaRef ds:uri="http://schemas.microsoft.com/office/2006/metadata/properties"/>
    <ds:schemaRef ds:uri="http://schemas.microsoft.com/office/infopath/2007/PartnerControls"/>
    <ds:schemaRef ds:uri="d3026fb0-012e-4ba3-96ac-2fe01d72ee34"/>
    <ds:schemaRef ds:uri="4f5b8274-46b8-4a8f-a999-a805dea4a3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63129Nees22_Sample_Net_Results_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Grace Milner</cp:lastModifiedBy>
  <dcterms:created xsi:type="dcterms:W3CDTF">2024-06-05T14:37:14Z</dcterms:created>
  <dcterms:modified xsi:type="dcterms:W3CDTF">2024-06-05T14:42:05Z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  <property fmtid="{D5CDD505-2E9C-101B-9397-08002B2CF9AE}" pid="4" name="Order">
    <vt:r8>11197500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